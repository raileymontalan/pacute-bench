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ailey/Downloads/"/>
    </mc:Choice>
  </mc:AlternateContent>
  <xr:revisionPtr revIDLastSave="0" documentId="13_ncr:1_{6DAFEC5C-2F99-BA4E-A317-853B6E097D7E}" xr6:coauthVersionLast="47" xr6:coauthVersionMax="47" xr10:uidLastSave="{00000000-0000-0000-0000-000000000000}"/>
  <bookViews>
    <workbookView xWindow="2700" yWindow="1880" windowWidth="24260" windowHeight="16700" firstSheet="4" activeTab="9" xr2:uid="{00000000-000D-0000-FFFF-FFFF00000000}"/>
  </bookViews>
  <sheets>
    <sheet name="TASKS &amp; INFO" sheetId="1" r:id="rId1"/>
    <sheet name="morphological_extraction" sheetId="2" r:id="rId2"/>
    <sheet name="diacritics" sheetId="3" r:id="rId3"/>
    <sheet name="uppercasing" sheetId="4" r:id="rId4"/>
    <sheet name="character_counting" sheetId="5" r:id="rId5"/>
    <sheet name="character_recognition" sheetId="6" r:id="rId6"/>
    <sheet name="inflected_affix_extraction" sheetId="7" r:id="rId7"/>
    <sheet name="inflected_root_extraction" sheetId="8" r:id="rId8"/>
    <sheet name="reduplicated_root_extraction" sheetId="9" r:id="rId9"/>
    <sheet name="reduplicant_extration" sheetId="12" r:id="rId10"/>
    <sheet name="morphological extraction_inflic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7" l="1"/>
  <c r="H182" i="9"/>
  <c r="G182" i="9"/>
  <c r="F182" i="9"/>
  <c r="D182" i="9"/>
  <c r="C182" i="9"/>
  <c r="H181" i="9"/>
  <c r="G181" i="9"/>
  <c r="F181" i="9"/>
  <c r="D181" i="9"/>
  <c r="C181" i="9"/>
  <c r="H180" i="9"/>
  <c r="G180" i="9"/>
  <c r="F180" i="9"/>
  <c r="D180" i="9"/>
  <c r="C180" i="9"/>
  <c r="H179" i="9"/>
  <c r="G179" i="9"/>
  <c r="F179" i="9"/>
  <c r="D179" i="9"/>
  <c r="C179" i="9"/>
  <c r="H178" i="9"/>
  <c r="G178" i="9"/>
  <c r="F178" i="9"/>
  <c r="D178" i="9"/>
  <c r="C178" i="9"/>
  <c r="H177" i="9"/>
  <c r="G177" i="9"/>
  <c r="F177" i="9"/>
  <c r="D177" i="9"/>
  <c r="C177" i="9"/>
  <c r="H176" i="9"/>
  <c r="G176" i="9"/>
  <c r="F176" i="9"/>
  <c r="D176" i="9"/>
  <c r="C176" i="9"/>
  <c r="H175" i="9"/>
  <c r="G175" i="9"/>
  <c r="F175" i="9"/>
  <c r="D175" i="9"/>
  <c r="C175" i="9"/>
  <c r="H174" i="9"/>
  <c r="G174" i="9"/>
  <c r="F174" i="9"/>
  <c r="D174" i="9"/>
  <c r="C174" i="9"/>
  <c r="H173" i="9"/>
  <c r="G173" i="9"/>
  <c r="F173" i="9"/>
  <c r="D173" i="9"/>
  <c r="C173" i="9"/>
  <c r="H172" i="9"/>
  <c r="G172" i="9"/>
  <c r="F172" i="9"/>
  <c r="D172" i="9"/>
  <c r="C172" i="9"/>
  <c r="H171" i="9"/>
  <c r="G171" i="9"/>
  <c r="F171" i="9"/>
  <c r="D171" i="9"/>
  <c r="C171" i="9"/>
  <c r="H170" i="9"/>
  <c r="G170" i="9"/>
  <c r="F170" i="9"/>
  <c r="D170" i="9"/>
  <c r="C170" i="9"/>
  <c r="H169" i="9"/>
  <c r="G169" i="9"/>
  <c r="F169" i="9"/>
  <c r="D169" i="9"/>
  <c r="C169" i="9"/>
  <c r="H168" i="9"/>
  <c r="G168" i="9"/>
  <c r="F168" i="9"/>
  <c r="D168" i="9"/>
  <c r="C168" i="9"/>
  <c r="H167" i="9"/>
  <c r="G167" i="9"/>
  <c r="F167" i="9"/>
  <c r="D167" i="9"/>
  <c r="C167" i="9"/>
  <c r="H166" i="9"/>
  <c r="G166" i="9"/>
  <c r="F166" i="9"/>
  <c r="D166" i="9"/>
  <c r="C166" i="9"/>
  <c r="H165" i="9"/>
  <c r="G165" i="9"/>
  <c r="F165" i="9"/>
  <c r="D165" i="9"/>
  <c r="C165" i="9"/>
  <c r="H164" i="9"/>
  <c r="G164" i="9"/>
  <c r="F164" i="9"/>
  <c r="D164" i="9"/>
  <c r="C164" i="9"/>
  <c r="H163" i="9"/>
  <c r="G163" i="9"/>
  <c r="F163" i="9"/>
  <c r="D163" i="9"/>
  <c r="C163" i="9"/>
  <c r="H162" i="9"/>
  <c r="G162" i="9"/>
  <c r="F162" i="9"/>
  <c r="D162" i="9"/>
  <c r="C162" i="9"/>
  <c r="H161" i="9"/>
  <c r="G161" i="9"/>
  <c r="F161" i="9"/>
  <c r="D161" i="9"/>
  <c r="C161" i="9"/>
  <c r="H160" i="9"/>
  <c r="G160" i="9"/>
  <c r="F160" i="9"/>
  <c r="D160" i="9"/>
  <c r="C160" i="9"/>
  <c r="H159" i="9"/>
  <c r="G159" i="9"/>
  <c r="F159" i="9"/>
  <c r="D159" i="9"/>
  <c r="C159" i="9"/>
  <c r="H158" i="9"/>
  <c r="G158" i="9"/>
  <c r="F158" i="9"/>
  <c r="D158" i="9"/>
  <c r="C158" i="9"/>
  <c r="H157" i="9"/>
  <c r="G157" i="9"/>
  <c r="F157" i="9"/>
  <c r="D157" i="9"/>
  <c r="C157" i="9"/>
  <c r="H156" i="9"/>
  <c r="G156" i="9"/>
  <c r="F156" i="9"/>
  <c r="D156" i="9"/>
  <c r="C156" i="9"/>
  <c r="H155" i="9"/>
  <c r="G155" i="9"/>
  <c r="F155" i="9"/>
  <c r="D155" i="9"/>
  <c r="C155" i="9"/>
  <c r="H154" i="9"/>
  <c r="G154" i="9"/>
  <c r="F154" i="9"/>
  <c r="D154" i="9"/>
  <c r="C154" i="9"/>
  <c r="H153" i="9"/>
  <c r="G153" i="9"/>
  <c r="F153" i="9"/>
  <c r="D153" i="9"/>
  <c r="C153" i="9"/>
  <c r="H152" i="9"/>
  <c r="G152" i="9"/>
  <c r="F152" i="9"/>
  <c r="D152" i="9"/>
  <c r="C152" i="9"/>
  <c r="H151" i="9"/>
  <c r="G151" i="9"/>
  <c r="F151" i="9"/>
  <c r="D151" i="9"/>
  <c r="C151" i="9"/>
  <c r="H150" i="9"/>
  <c r="G150" i="9"/>
  <c r="F150" i="9"/>
  <c r="D150" i="9"/>
  <c r="C150" i="9"/>
  <c r="H149" i="9"/>
  <c r="G149" i="9"/>
  <c r="F149" i="9"/>
  <c r="D149" i="9"/>
  <c r="C149" i="9"/>
  <c r="H148" i="9"/>
  <c r="G148" i="9"/>
  <c r="F148" i="9"/>
  <c r="D148" i="9"/>
  <c r="C148" i="9"/>
  <c r="H147" i="9"/>
  <c r="G147" i="9"/>
  <c r="F147" i="9"/>
  <c r="D147" i="9"/>
  <c r="C147" i="9"/>
  <c r="H146" i="9"/>
  <c r="G146" i="9"/>
  <c r="F146" i="9"/>
  <c r="D146" i="9"/>
  <c r="C146" i="9"/>
  <c r="H145" i="9"/>
  <c r="G145" i="9"/>
  <c r="F145" i="9"/>
  <c r="D145" i="9"/>
  <c r="C145" i="9"/>
  <c r="H144" i="9"/>
  <c r="G144" i="9"/>
  <c r="F144" i="9"/>
  <c r="D144" i="9"/>
  <c r="C144" i="9"/>
  <c r="H143" i="9"/>
  <c r="G143" i="9"/>
  <c r="F143" i="9"/>
  <c r="D143" i="9"/>
  <c r="C143" i="9"/>
  <c r="H142" i="9"/>
  <c r="G142" i="9"/>
  <c r="F142" i="9"/>
  <c r="D142" i="9"/>
  <c r="C142" i="9"/>
  <c r="H141" i="9"/>
  <c r="G141" i="9"/>
  <c r="F141" i="9"/>
  <c r="D141" i="9"/>
  <c r="C141" i="9"/>
  <c r="H140" i="9"/>
  <c r="G140" i="9"/>
  <c r="F140" i="9"/>
  <c r="D140" i="9"/>
  <c r="C140" i="9"/>
  <c r="H139" i="9"/>
  <c r="G139" i="9"/>
  <c r="F139" i="9"/>
  <c r="D139" i="9"/>
  <c r="C139" i="9"/>
  <c r="H138" i="9"/>
  <c r="G138" i="9"/>
  <c r="F138" i="9"/>
  <c r="D138" i="9"/>
  <c r="C138" i="9"/>
  <c r="H137" i="9"/>
  <c r="G137" i="9"/>
  <c r="F137" i="9"/>
  <c r="D137" i="9"/>
  <c r="C137" i="9"/>
  <c r="H136" i="9"/>
  <c r="G136" i="9"/>
  <c r="F136" i="9"/>
  <c r="D136" i="9"/>
  <c r="C136" i="9"/>
  <c r="H135" i="9"/>
  <c r="G135" i="9"/>
  <c r="F135" i="9"/>
  <c r="D135" i="9"/>
  <c r="C135" i="9"/>
  <c r="H134" i="9"/>
  <c r="G134" i="9"/>
  <c r="F134" i="9"/>
  <c r="D134" i="9"/>
  <c r="C134" i="9"/>
  <c r="H133" i="9"/>
  <c r="G133" i="9"/>
  <c r="F133" i="9"/>
  <c r="D133" i="9"/>
  <c r="C133" i="9"/>
  <c r="H132" i="9"/>
  <c r="G132" i="9"/>
  <c r="F132" i="9"/>
  <c r="D132" i="9"/>
  <c r="C132" i="9"/>
  <c r="H131" i="9"/>
  <c r="G131" i="9"/>
  <c r="F131" i="9"/>
  <c r="D131" i="9"/>
  <c r="C131" i="9"/>
  <c r="H130" i="9"/>
  <c r="G130" i="9"/>
  <c r="F130" i="9"/>
  <c r="D130" i="9"/>
  <c r="C130" i="9"/>
  <c r="H129" i="9"/>
  <c r="G129" i="9"/>
  <c r="F129" i="9"/>
  <c r="D129" i="9"/>
  <c r="C129" i="9"/>
  <c r="H128" i="9"/>
  <c r="G128" i="9"/>
  <c r="F128" i="9"/>
  <c r="D128" i="9"/>
  <c r="C128" i="9"/>
  <c r="H127" i="9"/>
  <c r="G127" i="9"/>
  <c r="F127" i="9"/>
  <c r="D127" i="9"/>
  <c r="C127" i="9"/>
  <c r="H126" i="9"/>
  <c r="G126" i="9"/>
  <c r="F126" i="9"/>
  <c r="D126" i="9"/>
  <c r="C126" i="9"/>
  <c r="H125" i="9"/>
  <c r="G125" i="9"/>
  <c r="F125" i="9"/>
  <c r="D125" i="9"/>
  <c r="C125" i="9"/>
  <c r="H124" i="9"/>
  <c r="G124" i="9"/>
  <c r="F124" i="9"/>
  <c r="D124" i="9"/>
  <c r="C124" i="9"/>
  <c r="H123" i="9"/>
  <c r="G123" i="9"/>
  <c r="F123" i="9"/>
  <c r="D123" i="9"/>
  <c r="C123" i="9"/>
  <c r="H122" i="9"/>
  <c r="G122" i="9"/>
  <c r="F122" i="9"/>
  <c r="D122" i="9"/>
  <c r="C122" i="9"/>
  <c r="H121" i="9"/>
  <c r="G121" i="9"/>
  <c r="F121" i="9"/>
  <c r="D121" i="9"/>
  <c r="C121" i="9"/>
  <c r="H120" i="9"/>
  <c r="G120" i="9"/>
  <c r="F120" i="9"/>
  <c r="D120" i="9"/>
  <c r="C120" i="9"/>
  <c r="H119" i="9"/>
  <c r="G119" i="9"/>
  <c r="F119" i="9"/>
  <c r="D119" i="9"/>
  <c r="C119" i="9"/>
  <c r="H118" i="9"/>
  <c r="G118" i="9"/>
  <c r="F118" i="9"/>
  <c r="D118" i="9"/>
  <c r="C118" i="9"/>
  <c r="H117" i="9"/>
  <c r="G117" i="9"/>
  <c r="F117" i="9"/>
  <c r="D117" i="9"/>
  <c r="C117" i="9"/>
  <c r="H116" i="9"/>
  <c r="G116" i="9"/>
  <c r="F116" i="9"/>
  <c r="D116" i="9"/>
  <c r="C116" i="9"/>
  <c r="H115" i="9"/>
  <c r="G115" i="9"/>
  <c r="F115" i="9"/>
  <c r="D115" i="9"/>
  <c r="C115" i="9"/>
  <c r="H114" i="9"/>
  <c r="G114" i="9"/>
  <c r="F114" i="9"/>
  <c r="D114" i="9"/>
  <c r="C114" i="9"/>
  <c r="H113" i="9"/>
  <c r="G113" i="9"/>
  <c r="F113" i="9"/>
  <c r="D113" i="9"/>
  <c r="C113" i="9"/>
  <c r="H112" i="9"/>
  <c r="G112" i="9"/>
  <c r="F112" i="9"/>
  <c r="D112" i="9"/>
  <c r="C112" i="9"/>
  <c r="H111" i="9"/>
  <c r="G111" i="9"/>
  <c r="F111" i="9"/>
  <c r="D111" i="9"/>
  <c r="C111" i="9"/>
  <c r="H110" i="9"/>
  <c r="G110" i="9"/>
  <c r="F110" i="9"/>
  <c r="D110" i="9"/>
  <c r="C110" i="9"/>
  <c r="H109" i="9"/>
  <c r="G109" i="9"/>
  <c r="F109" i="9"/>
  <c r="D109" i="9"/>
  <c r="C109" i="9"/>
  <c r="H108" i="9"/>
  <c r="G108" i="9"/>
  <c r="F108" i="9"/>
  <c r="D108" i="9"/>
  <c r="C108" i="9"/>
  <c r="H107" i="9"/>
  <c r="G107" i="9"/>
  <c r="F107" i="9"/>
  <c r="D107" i="9"/>
  <c r="C107" i="9"/>
  <c r="H106" i="9"/>
  <c r="G106" i="9"/>
  <c r="F106" i="9"/>
  <c r="D106" i="9"/>
  <c r="C106" i="9"/>
  <c r="H105" i="9"/>
  <c r="G105" i="9"/>
  <c r="F105" i="9"/>
  <c r="D105" i="9"/>
  <c r="C105" i="9"/>
  <c r="H104" i="9"/>
  <c r="G104" i="9"/>
  <c r="F104" i="9"/>
  <c r="D104" i="9"/>
  <c r="C104" i="9"/>
  <c r="H103" i="9"/>
  <c r="G103" i="9"/>
  <c r="F103" i="9"/>
  <c r="D103" i="9"/>
  <c r="C103" i="9"/>
  <c r="H102" i="9"/>
  <c r="G102" i="9"/>
  <c r="F102" i="9"/>
  <c r="D102" i="9"/>
  <c r="C102" i="9"/>
  <c r="H101" i="9"/>
  <c r="G101" i="9"/>
  <c r="F101" i="9"/>
  <c r="D101" i="9"/>
  <c r="C101" i="9"/>
  <c r="H100" i="9"/>
  <c r="G100" i="9"/>
  <c r="F100" i="9"/>
  <c r="D100" i="9"/>
  <c r="C100" i="9"/>
  <c r="H99" i="9"/>
  <c r="G99" i="9"/>
  <c r="F99" i="9"/>
  <c r="D99" i="9"/>
  <c r="C99" i="9"/>
  <c r="H98" i="9"/>
  <c r="G98" i="9"/>
  <c r="F98" i="9"/>
  <c r="D98" i="9"/>
  <c r="C98" i="9"/>
  <c r="H97" i="9"/>
  <c r="G97" i="9"/>
  <c r="F97" i="9"/>
  <c r="D97" i="9"/>
  <c r="C97" i="9"/>
  <c r="H96" i="9"/>
  <c r="G96" i="9"/>
  <c r="F96" i="9"/>
  <c r="D96" i="9"/>
  <c r="C96" i="9"/>
  <c r="H95" i="9"/>
  <c r="G95" i="9"/>
  <c r="F95" i="9"/>
  <c r="D95" i="9"/>
  <c r="C95" i="9"/>
  <c r="H94" i="9"/>
  <c r="G94" i="9"/>
  <c r="F94" i="9"/>
  <c r="D94" i="9"/>
  <c r="C94" i="9"/>
  <c r="H93" i="9"/>
  <c r="G93" i="9"/>
  <c r="F93" i="9"/>
  <c r="D93" i="9"/>
  <c r="C93" i="9"/>
  <c r="H92" i="9"/>
  <c r="G92" i="9"/>
  <c r="F92" i="9"/>
  <c r="D92" i="9"/>
  <c r="C92" i="9"/>
  <c r="H91" i="9"/>
  <c r="G91" i="9"/>
  <c r="F91" i="9"/>
  <c r="D91" i="9"/>
  <c r="C91" i="9"/>
  <c r="H90" i="9"/>
  <c r="G90" i="9"/>
  <c r="F90" i="9"/>
  <c r="D90" i="9"/>
  <c r="C90" i="9"/>
  <c r="H89" i="9"/>
  <c r="G89" i="9"/>
  <c r="F89" i="9"/>
  <c r="D89" i="9"/>
  <c r="C89" i="9"/>
  <c r="H88" i="9"/>
  <c r="G88" i="9"/>
  <c r="F88" i="9"/>
  <c r="D88" i="9"/>
  <c r="C88" i="9"/>
  <c r="H87" i="9"/>
  <c r="G87" i="9"/>
  <c r="F87" i="9"/>
  <c r="D87" i="9"/>
  <c r="C87" i="9"/>
  <c r="H86" i="9"/>
  <c r="G86" i="9"/>
  <c r="F86" i="9"/>
  <c r="D86" i="9"/>
  <c r="C86" i="9"/>
  <c r="H85" i="9"/>
  <c r="G85" i="9"/>
  <c r="F85" i="9"/>
  <c r="D85" i="9"/>
  <c r="C85" i="9"/>
  <c r="H84" i="9"/>
  <c r="G84" i="9"/>
  <c r="F84" i="9"/>
  <c r="D84" i="9"/>
  <c r="C84" i="9"/>
  <c r="H83" i="9"/>
  <c r="G83" i="9"/>
  <c r="F83" i="9"/>
  <c r="D83" i="9"/>
  <c r="C83" i="9"/>
  <c r="H82" i="9"/>
  <c r="G82" i="9"/>
  <c r="F82" i="9"/>
  <c r="D82" i="9"/>
  <c r="C82" i="9"/>
  <c r="H81" i="9"/>
  <c r="G81" i="9"/>
  <c r="F81" i="9"/>
  <c r="D81" i="9"/>
  <c r="C81" i="9"/>
  <c r="H80" i="9"/>
  <c r="G80" i="9"/>
  <c r="F80" i="9"/>
  <c r="D80" i="9"/>
  <c r="C80" i="9"/>
  <c r="H79" i="9"/>
  <c r="G79" i="9"/>
  <c r="F79" i="9"/>
  <c r="D79" i="9"/>
  <c r="C79" i="9"/>
  <c r="H78" i="9"/>
  <c r="G78" i="9"/>
  <c r="F78" i="9"/>
  <c r="D78" i="9"/>
  <c r="C78" i="9"/>
  <c r="H77" i="9"/>
  <c r="G77" i="9"/>
  <c r="F77" i="9"/>
  <c r="D77" i="9"/>
  <c r="C77" i="9"/>
  <c r="H76" i="9"/>
  <c r="G76" i="9"/>
  <c r="F76" i="9"/>
  <c r="D76" i="9"/>
  <c r="C76" i="9"/>
  <c r="H75" i="9"/>
  <c r="G75" i="9"/>
  <c r="F75" i="9"/>
  <c r="D75" i="9"/>
  <c r="C75" i="9"/>
  <c r="H74" i="9"/>
  <c r="G74" i="9"/>
  <c r="F74" i="9"/>
  <c r="D74" i="9"/>
  <c r="C74" i="9"/>
  <c r="H73" i="9"/>
  <c r="G73" i="9"/>
  <c r="F73" i="9"/>
  <c r="D73" i="9"/>
  <c r="C73" i="9"/>
  <c r="H72" i="9"/>
  <c r="G72" i="9"/>
  <c r="F72" i="9"/>
  <c r="D72" i="9"/>
  <c r="C72" i="9"/>
  <c r="H71" i="9"/>
  <c r="G71" i="9"/>
  <c r="F71" i="9"/>
  <c r="D71" i="9"/>
  <c r="C71" i="9"/>
  <c r="H70" i="9"/>
  <c r="G70" i="9"/>
  <c r="F70" i="9"/>
  <c r="D70" i="9"/>
  <c r="C70" i="9"/>
  <c r="H69" i="9"/>
  <c r="G69" i="9"/>
  <c r="F69" i="9"/>
  <c r="D69" i="9"/>
  <c r="C69" i="9"/>
  <c r="H68" i="9"/>
  <c r="G68" i="9"/>
  <c r="F68" i="9"/>
  <c r="D68" i="9"/>
  <c r="C68" i="9"/>
  <c r="H67" i="9"/>
  <c r="G67" i="9"/>
  <c r="F67" i="9"/>
  <c r="D67" i="9"/>
  <c r="C67" i="9"/>
  <c r="H66" i="9"/>
  <c r="G66" i="9"/>
  <c r="F66" i="9"/>
  <c r="D66" i="9"/>
  <c r="C66" i="9"/>
  <c r="H65" i="9"/>
  <c r="G65" i="9"/>
  <c r="F65" i="9"/>
  <c r="D65" i="9"/>
  <c r="C65" i="9"/>
  <c r="H64" i="9"/>
  <c r="G64" i="9"/>
  <c r="F64" i="9"/>
  <c r="D64" i="9"/>
  <c r="C64" i="9"/>
  <c r="H63" i="9"/>
  <c r="G63" i="9"/>
  <c r="F63" i="9"/>
  <c r="D63" i="9"/>
  <c r="C63" i="9"/>
  <c r="H62" i="9"/>
  <c r="G62" i="9"/>
  <c r="F62" i="9"/>
  <c r="D62" i="9"/>
  <c r="C62" i="9"/>
  <c r="H61" i="9"/>
  <c r="G61" i="9"/>
  <c r="F61" i="9"/>
  <c r="D61" i="9"/>
  <c r="C61" i="9"/>
  <c r="H60" i="9"/>
  <c r="G60" i="9"/>
  <c r="F60" i="9"/>
  <c r="D60" i="9"/>
  <c r="C60" i="9"/>
  <c r="H59" i="9"/>
  <c r="G59" i="9"/>
  <c r="F59" i="9"/>
  <c r="D59" i="9"/>
  <c r="C59" i="9"/>
  <c r="H58" i="9"/>
  <c r="G58" i="9"/>
  <c r="F58" i="9"/>
  <c r="D58" i="9"/>
  <c r="C58" i="9"/>
  <c r="H57" i="9"/>
  <c r="G57" i="9"/>
  <c r="F57" i="9"/>
  <c r="D57" i="9"/>
  <c r="C57" i="9"/>
  <c r="H56" i="9"/>
  <c r="G56" i="9"/>
  <c r="F56" i="9"/>
  <c r="D56" i="9"/>
  <c r="C56" i="9"/>
  <c r="H55" i="9"/>
  <c r="G55" i="9"/>
  <c r="F55" i="9"/>
  <c r="D55" i="9"/>
  <c r="C55" i="9"/>
  <c r="H54" i="9"/>
  <c r="G54" i="9"/>
  <c r="F54" i="9"/>
  <c r="D54" i="9"/>
  <c r="C54" i="9"/>
  <c r="H53" i="9"/>
  <c r="G53" i="9"/>
  <c r="F53" i="9"/>
  <c r="D53" i="9"/>
  <c r="C53" i="9"/>
  <c r="H52" i="9"/>
  <c r="G52" i="9"/>
  <c r="F52" i="9"/>
  <c r="D52" i="9"/>
  <c r="C52" i="9"/>
  <c r="H51" i="9"/>
  <c r="G51" i="9"/>
  <c r="F51" i="9"/>
  <c r="D51" i="9"/>
  <c r="C51" i="9"/>
  <c r="H50" i="9"/>
  <c r="G50" i="9"/>
  <c r="F50" i="9"/>
  <c r="D50" i="9"/>
  <c r="C50" i="9"/>
  <c r="H49" i="9"/>
  <c r="G49" i="9"/>
  <c r="F49" i="9"/>
  <c r="D49" i="9"/>
  <c r="C49" i="9"/>
  <c r="H48" i="9"/>
  <c r="G48" i="9"/>
  <c r="F48" i="9"/>
  <c r="D48" i="9"/>
  <c r="C48" i="9"/>
  <c r="H47" i="9"/>
  <c r="G47" i="9"/>
  <c r="F47" i="9"/>
  <c r="D47" i="9"/>
  <c r="C47" i="9"/>
  <c r="H46" i="9"/>
  <c r="G46" i="9"/>
  <c r="F46" i="9"/>
  <c r="D46" i="9"/>
  <c r="C46" i="9"/>
  <c r="H45" i="9"/>
  <c r="G45" i="9"/>
  <c r="F45" i="9"/>
  <c r="D45" i="9"/>
  <c r="C45" i="9"/>
  <c r="H44" i="9"/>
  <c r="G44" i="9"/>
  <c r="F44" i="9"/>
  <c r="D44" i="9"/>
  <c r="C44" i="9"/>
  <c r="H43" i="9"/>
  <c r="G43" i="9"/>
  <c r="F43" i="9"/>
  <c r="D43" i="9"/>
  <c r="C43" i="9"/>
  <c r="H42" i="9"/>
  <c r="G42" i="9"/>
  <c r="F42" i="9"/>
  <c r="D42" i="9"/>
  <c r="C42" i="9"/>
  <c r="H41" i="9"/>
  <c r="G41" i="9"/>
  <c r="F41" i="9"/>
  <c r="D41" i="9"/>
  <c r="C41" i="9"/>
  <c r="H40" i="9"/>
  <c r="G40" i="9"/>
  <c r="F40" i="9"/>
  <c r="D40" i="9"/>
  <c r="C40" i="9"/>
  <c r="H39" i="9"/>
  <c r="G39" i="9"/>
  <c r="F39" i="9"/>
  <c r="D39" i="9"/>
  <c r="C39" i="9"/>
  <c r="H38" i="9"/>
  <c r="G38" i="9"/>
  <c r="F38" i="9"/>
  <c r="D38" i="9"/>
  <c r="C38" i="9"/>
  <c r="H37" i="9"/>
  <c r="G37" i="9"/>
  <c r="F37" i="9"/>
  <c r="D37" i="9"/>
  <c r="C37" i="9"/>
  <c r="H36" i="9"/>
  <c r="G36" i="9"/>
  <c r="F36" i="9"/>
  <c r="D36" i="9"/>
  <c r="C36" i="9"/>
  <c r="H35" i="9"/>
  <c r="G35" i="9"/>
  <c r="F35" i="9"/>
  <c r="D35" i="9"/>
  <c r="C35" i="9"/>
  <c r="H34" i="9"/>
  <c r="G34" i="9"/>
  <c r="F34" i="9"/>
  <c r="D34" i="9"/>
  <c r="C34" i="9"/>
  <c r="H33" i="9"/>
  <c r="G33" i="9"/>
  <c r="F33" i="9"/>
  <c r="D33" i="9"/>
  <c r="C33" i="9"/>
  <c r="H32" i="9"/>
  <c r="G32" i="9"/>
  <c r="F32" i="9"/>
  <c r="D32" i="9"/>
  <c r="C32" i="9"/>
  <c r="H31" i="9"/>
  <c r="G31" i="9"/>
  <c r="F31" i="9"/>
  <c r="D31" i="9"/>
  <c r="C31" i="9"/>
  <c r="H30" i="9"/>
  <c r="G30" i="9"/>
  <c r="F30" i="9"/>
  <c r="D30" i="9"/>
  <c r="C30" i="9"/>
  <c r="H29" i="9"/>
  <c r="G29" i="9"/>
  <c r="F29" i="9"/>
  <c r="D29" i="9"/>
  <c r="C29" i="9"/>
  <c r="H28" i="9"/>
  <c r="G28" i="9"/>
  <c r="F28" i="9"/>
  <c r="D28" i="9"/>
  <c r="C28" i="9"/>
  <c r="H27" i="9"/>
  <c r="G27" i="9"/>
  <c r="F27" i="9"/>
  <c r="D27" i="9"/>
  <c r="C27" i="9"/>
  <c r="H26" i="9"/>
  <c r="G26" i="9"/>
  <c r="F26" i="9"/>
  <c r="D26" i="9"/>
  <c r="C26" i="9"/>
  <c r="H25" i="9"/>
  <c r="G25" i="9"/>
  <c r="F25" i="9"/>
  <c r="D25" i="9"/>
  <c r="C25" i="9"/>
  <c r="H24" i="9"/>
  <c r="G24" i="9"/>
  <c r="F24" i="9"/>
  <c r="D24" i="9"/>
  <c r="C24" i="9"/>
  <c r="H23" i="9"/>
  <c r="G23" i="9"/>
  <c r="F23" i="9"/>
  <c r="D23" i="9"/>
  <c r="C23" i="9"/>
  <c r="H22" i="9"/>
  <c r="G22" i="9"/>
  <c r="F22" i="9"/>
  <c r="D22" i="9"/>
  <c r="C22" i="9"/>
  <c r="H21" i="9"/>
  <c r="G21" i="9"/>
  <c r="F21" i="9"/>
  <c r="D21" i="9"/>
  <c r="C21" i="9"/>
  <c r="H20" i="9"/>
  <c r="G20" i="9"/>
  <c r="F20" i="9"/>
  <c r="D20" i="9"/>
  <c r="C20" i="9"/>
  <c r="H19" i="9"/>
  <c r="G19" i="9"/>
  <c r="F19" i="9"/>
  <c r="D19" i="9"/>
  <c r="C19" i="9"/>
  <c r="H18" i="9"/>
  <c r="G18" i="9"/>
  <c r="F18" i="9"/>
  <c r="D18" i="9"/>
  <c r="C18" i="9"/>
  <c r="H17" i="9"/>
  <c r="G17" i="9"/>
  <c r="F17" i="9"/>
  <c r="D17" i="9"/>
  <c r="C17" i="9"/>
  <c r="H16" i="9"/>
  <c r="G16" i="9"/>
  <c r="F16" i="9"/>
  <c r="D16" i="9"/>
  <c r="C16" i="9"/>
  <c r="H15" i="9"/>
  <c r="G15" i="9"/>
  <c r="F15" i="9"/>
  <c r="D15" i="9"/>
  <c r="C15" i="9"/>
  <c r="H14" i="9"/>
  <c r="G14" i="9"/>
  <c r="F14" i="9"/>
  <c r="D14" i="9"/>
  <c r="C14" i="9"/>
  <c r="H13" i="9"/>
  <c r="G13" i="9"/>
  <c r="F13" i="9"/>
  <c r="D13" i="9"/>
  <c r="C13" i="9"/>
  <c r="H12" i="9"/>
  <c r="G12" i="9"/>
  <c r="F12" i="9"/>
  <c r="D12" i="9"/>
  <c r="C12" i="9"/>
  <c r="H11" i="9"/>
  <c r="G11" i="9"/>
  <c r="F11" i="9"/>
  <c r="D11" i="9"/>
  <c r="C11" i="9"/>
  <c r="H10" i="9"/>
  <c r="G10" i="9"/>
  <c r="F10" i="9"/>
  <c r="D10" i="9"/>
  <c r="C10" i="9"/>
  <c r="H9" i="9"/>
  <c r="G9" i="9"/>
  <c r="F9" i="9"/>
  <c r="D9" i="9"/>
  <c r="C9" i="9"/>
  <c r="H8" i="9"/>
  <c r="G8" i="9"/>
  <c r="F8" i="9"/>
  <c r="D8" i="9"/>
  <c r="C8" i="9"/>
  <c r="H7" i="9"/>
  <c r="G7" i="9"/>
  <c r="F7" i="9"/>
  <c r="D7" i="9"/>
  <c r="C7" i="9"/>
  <c r="H6" i="9"/>
  <c r="G6" i="9"/>
  <c r="F6" i="9"/>
  <c r="D6" i="9"/>
  <c r="C6" i="9"/>
  <c r="H5" i="9"/>
  <c r="G5" i="9"/>
  <c r="F5" i="9"/>
  <c r="D5" i="9"/>
  <c r="C5" i="9"/>
  <c r="H4" i="9"/>
  <c r="G4" i="9"/>
  <c r="F4" i="9"/>
  <c r="D4" i="9"/>
  <c r="C4" i="9"/>
  <c r="H3" i="9"/>
  <c r="G3" i="9"/>
  <c r="F3" i="9"/>
  <c r="D3" i="9"/>
  <c r="C3" i="9"/>
  <c r="G191" i="8"/>
  <c r="F191" i="8"/>
  <c r="E191" i="8"/>
  <c r="G190" i="8"/>
  <c r="F190" i="8"/>
  <c r="E190" i="8"/>
  <c r="G189" i="8"/>
  <c r="F189" i="8"/>
  <c r="E189" i="8"/>
  <c r="G188" i="8"/>
  <c r="F188" i="8"/>
  <c r="E188" i="8"/>
  <c r="G187" i="8"/>
  <c r="F187" i="8"/>
  <c r="E187" i="8"/>
  <c r="G186" i="8"/>
  <c r="F186" i="8"/>
  <c r="E186" i="8"/>
  <c r="G185" i="8"/>
  <c r="F185" i="8"/>
  <c r="E185" i="8"/>
  <c r="G184" i="8"/>
  <c r="F184" i="8"/>
  <c r="E184" i="8"/>
  <c r="G183" i="8"/>
  <c r="F183" i="8"/>
  <c r="E183" i="8"/>
  <c r="G182" i="8"/>
  <c r="F182" i="8"/>
  <c r="E182" i="8"/>
  <c r="G181" i="8"/>
  <c r="F181" i="8"/>
  <c r="E181" i="8"/>
  <c r="G180" i="8"/>
  <c r="F180" i="8"/>
  <c r="E180" i="8"/>
  <c r="G179" i="8"/>
  <c r="F179" i="8"/>
  <c r="E179" i="8"/>
  <c r="G178" i="8"/>
  <c r="F178" i="8"/>
  <c r="E178" i="8"/>
  <c r="G177" i="8"/>
  <c r="F177" i="8"/>
  <c r="E177" i="8"/>
  <c r="G176" i="8"/>
  <c r="F176" i="8"/>
  <c r="E176" i="8"/>
  <c r="G175" i="8"/>
  <c r="F175" i="8"/>
  <c r="E175" i="8"/>
  <c r="G174" i="8"/>
  <c r="F174" i="8"/>
  <c r="E174" i="8"/>
  <c r="G173" i="8"/>
  <c r="F173" i="8"/>
  <c r="E173" i="8"/>
  <c r="G172" i="8"/>
  <c r="F172" i="8"/>
  <c r="E172" i="8"/>
  <c r="G171" i="8"/>
  <c r="F171" i="8"/>
  <c r="E171" i="8"/>
  <c r="C171" i="8"/>
  <c r="G170" i="8"/>
  <c r="F170" i="8"/>
  <c r="E170" i="8"/>
  <c r="C170" i="8"/>
  <c r="G169" i="8"/>
  <c r="F169" i="8"/>
  <c r="E169" i="8"/>
  <c r="C169" i="8"/>
  <c r="G168" i="8"/>
  <c r="F168" i="8"/>
  <c r="E168" i="8"/>
  <c r="C168" i="8"/>
  <c r="G167" i="8"/>
  <c r="F167" i="8"/>
  <c r="E167" i="8"/>
  <c r="C167" i="8"/>
  <c r="G166" i="8"/>
  <c r="F166" i="8"/>
  <c r="E166" i="8"/>
  <c r="C166" i="8"/>
  <c r="G165" i="8"/>
  <c r="F165" i="8"/>
  <c r="E165" i="8"/>
  <c r="C165" i="8"/>
  <c r="G164" i="8"/>
  <c r="F164" i="8"/>
  <c r="E164" i="8"/>
  <c r="C164" i="8"/>
  <c r="G163" i="8"/>
  <c r="F163" i="8"/>
  <c r="E163" i="8"/>
  <c r="C163" i="8"/>
  <c r="G162" i="8"/>
  <c r="F162" i="8"/>
  <c r="E162" i="8"/>
  <c r="C162" i="8"/>
  <c r="G161" i="8"/>
  <c r="F161" i="8"/>
  <c r="E161" i="8"/>
  <c r="C161" i="8"/>
  <c r="G160" i="8"/>
  <c r="F160" i="8"/>
  <c r="E160" i="8"/>
  <c r="C160" i="8"/>
  <c r="G159" i="8"/>
  <c r="F159" i="8"/>
  <c r="E159" i="8"/>
  <c r="C159" i="8"/>
  <c r="G158" i="8"/>
  <c r="F158" i="8"/>
  <c r="E158" i="8"/>
  <c r="C158" i="8"/>
  <c r="G157" i="8"/>
  <c r="F157" i="8"/>
  <c r="E157" i="8"/>
  <c r="C157" i="8"/>
  <c r="G156" i="8"/>
  <c r="F156" i="8"/>
  <c r="E156" i="8"/>
  <c r="C156" i="8"/>
  <c r="G155" i="8"/>
  <c r="F155" i="8"/>
  <c r="E155" i="8"/>
  <c r="C155" i="8"/>
  <c r="G154" i="8"/>
  <c r="F154" i="8"/>
  <c r="E154" i="8"/>
  <c r="C154" i="8"/>
  <c r="G153" i="8"/>
  <c r="F153" i="8"/>
  <c r="E153" i="8"/>
  <c r="C153" i="8"/>
  <c r="G152" i="8"/>
  <c r="F152" i="8"/>
  <c r="E152" i="8"/>
  <c r="C152" i="8"/>
  <c r="G151" i="8"/>
  <c r="F151" i="8"/>
  <c r="E151" i="8"/>
  <c r="C151" i="8"/>
  <c r="G150" i="8"/>
  <c r="F150" i="8"/>
  <c r="E150" i="8"/>
  <c r="C150" i="8"/>
  <c r="G149" i="8"/>
  <c r="F149" i="8"/>
  <c r="E149" i="8"/>
  <c r="C149" i="8"/>
  <c r="G148" i="8"/>
  <c r="F148" i="8"/>
  <c r="E148" i="8"/>
  <c r="C148" i="8"/>
  <c r="G147" i="8"/>
  <c r="F147" i="8"/>
  <c r="E147" i="8"/>
  <c r="C147" i="8"/>
  <c r="G146" i="8"/>
  <c r="F146" i="8"/>
  <c r="E146" i="8"/>
  <c r="C146" i="8"/>
  <c r="G145" i="8"/>
  <c r="F145" i="8"/>
  <c r="E145" i="8"/>
  <c r="C145" i="8"/>
  <c r="G144" i="8"/>
  <c r="F144" i="8"/>
  <c r="E144" i="8"/>
  <c r="C144" i="8"/>
  <c r="G143" i="8"/>
  <c r="F143" i="8"/>
  <c r="E143" i="8"/>
  <c r="C143" i="8"/>
  <c r="G142" i="8"/>
  <c r="F142" i="8"/>
  <c r="E142" i="8"/>
  <c r="C142" i="8"/>
  <c r="G141" i="8"/>
  <c r="F141" i="8"/>
  <c r="E141" i="8"/>
  <c r="C141" i="8"/>
  <c r="G140" i="8"/>
  <c r="F140" i="8"/>
  <c r="E140" i="8"/>
  <c r="C140" i="8"/>
  <c r="G139" i="8"/>
  <c r="F139" i="8"/>
  <c r="E139" i="8"/>
  <c r="C139" i="8"/>
  <c r="G138" i="8"/>
  <c r="F138" i="8"/>
  <c r="E138" i="8"/>
  <c r="C138" i="8"/>
  <c r="G137" i="8"/>
  <c r="F137" i="8"/>
  <c r="E137" i="8"/>
  <c r="C137" i="8"/>
  <c r="G136" i="8"/>
  <c r="F136" i="8"/>
  <c r="E136" i="8"/>
  <c r="C136" i="8"/>
  <c r="G135" i="8"/>
  <c r="F135" i="8"/>
  <c r="E135" i="8"/>
  <c r="C135" i="8"/>
  <c r="G134" i="8"/>
  <c r="F134" i="8"/>
  <c r="E134" i="8"/>
  <c r="C134" i="8"/>
  <c r="G133" i="8"/>
  <c r="F133" i="8"/>
  <c r="E133" i="8"/>
  <c r="C133" i="8"/>
  <c r="G132" i="8"/>
  <c r="F132" i="8"/>
  <c r="E132" i="8"/>
  <c r="C132" i="8"/>
  <c r="G131" i="8"/>
  <c r="F131" i="8"/>
  <c r="E131" i="8"/>
  <c r="C131" i="8"/>
  <c r="G130" i="8"/>
  <c r="F130" i="8"/>
  <c r="E130" i="8"/>
  <c r="C130" i="8"/>
  <c r="G129" i="8"/>
  <c r="F129" i="8"/>
  <c r="E129" i="8"/>
  <c r="C129" i="8"/>
  <c r="G128" i="8"/>
  <c r="F128" i="8"/>
  <c r="E128" i="8"/>
  <c r="C128" i="8"/>
  <c r="G127" i="8"/>
  <c r="F127" i="8"/>
  <c r="E127" i="8"/>
  <c r="C127" i="8"/>
  <c r="G126" i="8"/>
  <c r="F126" i="8"/>
  <c r="E126" i="8"/>
  <c r="C126" i="8"/>
  <c r="G125" i="8"/>
  <c r="F125" i="8"/>
  <c r="E125" i="8"/>
  <c r="C125" i="8"/>
  <c r="G124" i="8"/>
  <c r="F124" i="8"/>
  <c r="E124" i="8"/>
  <c r="C124" i="8"/>
  <c r="G123" i="8"/>
  <c r="F123" i="8"/>
  <c r="E123" i="8"/>
  <c r="C123" i="8"/>
  <c r="G122" i="8"/>
  <c r="F122" i="8"/>
  <c r="E122" i="8"/>
  <c r="C122" i="8"/>
  <c r="G121" i="8"/>
  <c r="F121" i="8"/>
  <c r="E121" i="8"/>
  <c r="C121" i="8"/>
  <c r="G120" i="8"/>
  <c r="F120" i="8"/>
  <c r="E120" i="8"/>
  <c r="C120" i="8"/>
  <c r="G119" i="8"/>
  <c r="F119" i="8"/>
  <c r="E119" i="8"/>
  <c r="C119" i="8"/>
  <c r="G118" i="8"/>
  <c r="F118" i="8"/>
  <c r="E118" i="8"/>
  <c r="C118" i="8"/>
  <c r="G117" i="8"/>
  <c r="F117" i="8"/>
  <c r="E117" i="8"/>
  <c r="C117" i="8"/>
  <c r="G116" i="8"/>
  <c r="F116" i="8"/>
  <c r="E116" i="8"/>
  <c r="C116" i="8"/>
  <c r="G115" i="8"/>
  <c r="F115" i="8"/>
  <c r="E115" i="8"/>
  <c r="C115" i="8"/>
  <c r="G114" i="8"/>
  <c r="F114" i="8"/>
  <c r="E114" i="8"/>
  <c r="C114" i="8"/>
  <c r="G113" i="8"/>
  <c r="F113" i="8"/>
  <c r="E113" i="8"/>
  <c r="C113" i="8"/>
  <c r="G112" i="8"/>
  <c r="F112" i="8"/>
  <c r="E112" i="8"/>
  <c r="C112" i="8"/>
  <c r="G111" i="8"/>
  <c r="F111" i="8"/>
  <c r="E111" i="8"/>
  <c r="C111" i="8"/>
  <c r="G110" i="8"/>
  <c r="F110" i="8"/>
  <c r="E110" i="8"/>
  <c r="C110" i="8"/>
  <c r="G109" i="8"/>
  <c r="F109" i="8"/>
  <c r="E109" i="8"/>
  <c r="C109" i="8"/>
  <c r="G108" i="8"/>
  <c r="F108" i="8"/>
  <c r="E108" i="8"/>
  <c r="C108" i="8"/>
  <c r="G107" i="8"/>
  <c r="F107" i="8"/>
  <c r="E107" i="8"/>
  <c r="C107" i="8"/>
  <c r="G106" i="8"/>
  <c r="F106" i="8"/>
  <c r="E106" i="8"/>
  <c r="C106" i="8"/>
  <c r="G105" i="8"/>
  <c r="F105" i="8"/>
  <c r="E105" i="8"/>
  <c r="C105" i="8"/>
  <c r="G104" i="8"/>
  <c r="F104" i="8"/>
  <c r="E104" i="8"/>
  <c r="C104" i="8"/>
  <c r="G103" i="8"/>
  <c r="F103" i="8"/>
  <c r="E103" i="8"/>
  <c r="C103" i="8"/>
  <c r="G102" i="8"/>
  <c r="F102" i="8"/>
  <c r="E102" i="8"/>
  <c r="C102" i="8"/>
  <c r="G101" i="8"/>
  <c r="F101" i="8"/>
  <c r="E101" i="8"/>
  <c r="C101" i="8"/>
  <c r="G100" i="8"/>
  <c r="F100" i="8"/>
  <c r="E100" i="8"/>
  <c r="C100" i="8"/>
  <c r="G99" i="8"/>
  <c r="F99" i="8"/>
  <c r="E99" i="8"/>
  <c r="C99" i="8"/>
  <c r="G98" i="8"/>
  <c r="F98" i="8"/>
  <c r="E98" i="8"/>
  <c r="C98" i="8"/>
  <c r="G97" i="8"/>
  <c r="F97" i="8"/>
  <c r="E97" i="8"/>
  <c r="C97" i="8"/>
  <c r="G96" i="8"/>
  <c r="F96" i="8"/>
  <c r="E96" i="8"/>
  <c r="C96" i="8"/>
  <c r="G95" i="8"/>
  <c r="F95" i="8"/>
  <c r="E95" i="8"/>
  <c r="C95" i="8"/>
  <c r="G94" i="8"/>
  <c r="F94" i="8"/>
  <c r="E94" i="8"/>
  <c r="C94" i="8"/>
  <c r="G93" i="8"/>
  <c r="F93" i="8"/>
  <c r="E93" i="8"/>
  <c r="C93" i="8"/>
  <c r="G92" i="8"/>
  <c r="F92" i="8"/>
  <c r="E92" i="8"/>
  <c r="C92" i="8"/>
  <c r="G91" i="8"/>
  <c r="F91" i="8"/>
  <c r="E91" i="8"/>
  <c r="C91" i="8"/>
  <c r="G90" i="8"/>
  <c r="F90" i="8"/>
  <c r="E90" i="8"/>
  <c r="C90" i="8"/>
  <c r="G89" i="8"/>
  <c r="F89" i="8"/>
  <c r="E89" i="8"/>
  <c r="C89" i="8"/>
  <c r="G88" i="8"/>
  <c r="F88" i="8"/>
  <c r="E88" i="8"/>
  <c r="C88" i="8"/>
  <c r="G87" i="8"/>
  <c r="F87" i="8"/>
  <c r="E87" i="8"/>
  <c r="C87" i="8"/>
  <c r="G86" i="8"/>
  <c r="F86" i="8"/>
  <c r="E86" i="8"/>
  <c r="C86" i="8"/>
  <c r="G85" i="8"/>
  <c r="F85" i="8"/>
  <c r="E85" i="8"/>
  <c r="C85" i="8"/>
  <c r="G84" i="8"/>
  <c r="F84" i="8"/>
  <c r="E84" i="8"/>
  <c r="C84" i="8"/>
  <c r="G83" i="8"/>
  <c r="F83" i="8"/>
  <c r="E83" i="8"/>
  <c r="C83" i="8"/>
  <c r="G82" i="8"/>
  <c r="F82" i="8"/>
  <c r="E82" i="8"/>
  <c r="C82" i="8"/>
  <c r="G81" i="8"/>
  <c r="F81" i="8"/>
  <c r="E81" i="8"/>
  <c r="C81" i="8"/>
  <c r="G80" i="8"/>
  <c r="F80" i="8"/>
  <c r="E80" i="8"/>
  <c r="C80" i="8"/>
  <c r="G79" i="8"/>
  <c r="F79" i="8"/>
  <c r="E79" i="8"/>
  <c r="C79" i="8"/>
  <c r="G78" i="8"/>
  <c r="F78" i="8"/>
  <c r="E78" i="8"/>
  <c r="C78" i="8"/>
  <c r="G77" i="8"/>
  <c r="F77" i="8"/>
  <c r="E77" i="8"/>
  <c r="C77" i="8"/>
  <c r="G76" i="8"/>
  <c r="F76" i="8"/>
  <c r="E76" i="8"/>
  <c r="C76" i="8"/>
  <c r="G75" i="8"/>
  <c r="F75" i="8"/>
  <c r="E75" i="8"/>
  <c r="C75" i="8"/>
  <c r="G74" i="8"/>
  <c r="F74" i="8"/>
  <c r="E74" i="8"/>
  <c r="C74" i="8"/>
  <c r="G73" i="8"/>
  <c r="F73" i="8"/>
  <c r="E73" i="8"/>
  <c r="C73" i="8"/>
  <c r="G72" i="8"/>
  <c r="F72" i="8"/>
  <c r="E72" i="8"/>
  <c r="C72" i="8"/>
  <c r="G71" i="8"/>
  <c r="F71" i="8"/>
  <c r="E71" i="8"/>
  <c r="C71" i="8"/>
  <c r="G70" i="8"/>
  <c r="F70" i="8"/>
  <c r="E70" i="8"/>
  <c r="C70" i="8"/>
  <c r="G69" i="8"/>
  <c r="F69" i="8"/>
  <c r="E69" i="8"/>
  <c r="C69" i="8"/>
  <c r="G68" i="8"/>
  <c r="F68" i="8"/>
  <c r="E68" i="8"/>
  <c r="C68" i="8"/>
  <c r="G67" i="8"/>
  <c r="F67" i="8"/>
  <c r="E67" i="8"/>
  <c r="C67" i="8"/>
  <c r="G66" i="8"/>
  <c r="F66" i="8"/>
  <c r="E66" i="8"/>
  <c r="C66" i="8"/>
  <c r="G65" i="8"/>
  <c r="F65" i="8"/>
  <c r="E65" i="8"/>
  <c r="C65" i="8"/>
  <c r="G64" i="8"/>
  <c r="F64" i="8"/>
  <c r="E64" i="8"/>
  <c r="C64" i="8"/>
  <c r="G63" i="8"/>
  <c r="F63" i="8"/>
  <c r="E63" i="8"/>
  <c r="C63" i="8"/>
  <c r="G62" i="8"/>
  <c r="F62" i="8"/>
  <c r="E62" i="8"/>
  <c r="C62" i="8"/>
  <c r="G61" i="8"/>
  <c r="F61" i="8"/>
  <c r="E61" i="8"/>
  <c r="C61" i="8"/>
  <c r="G60" i="8"/>
  <c r="F60" i="8"/>
  <c r="E60" i="8"/>
  <c r="C60" i="8"/>
  <c r="G59" i="8"/>
  <c r="F59" i="8"/>
  <c r="E59" i="8"/>
  <c r="C59" i="8"/>
  <c r="G58" i="8"/>
  <c r="F58" i="8"/>
  <c r="E58" i="8"/>
  <c r="C58" i="8"/>
  <c r="G57" i="8"/>
  <c r="F57" i="8"/>
  <c r="E57" i="8"/>
  <c r="C57" i="8"/>
  <c r="G56" i="8"/>
  <c r="F56" i="8"/>
  <c r="E56" i="8"/>
  <c r="C56" i="8"/>
  <c r="G55" i="8"/>
  <c r="F55" i="8"/>
  <c r="E55" i="8"/>
  <c r="C55" i="8"/>
  <c r="G54" i="8"/>
  <c r="F54" i="8"/>
  <c r="E54" i="8"/>
  <c r="C54" i="8"/>
  <c r="G53" i="8"/>
  <c r="F53" i="8"/>
  <c r="E53" i="8"/>
  <c r="C53" i="8"/>
  <c r="G52" i="8"/>
  <c r="F52" i="8"/>
  <c r="E52" i="8"/>
  <c r="C52" i="8"/>
  <c r="G51" i="8"/>
  <c r="F51" i="8"/>
  <c r="E51" i="8"/>
  <c r="C51" i="8"/>
  <c r="G50" i="8"/>
  <c r="F50" i="8"/>
  <c r="E50" i="8"/>
  <c r="C50" i="8"/>
  <c r="G49" i="8"/>
  <c r="F49" i="8"/>
  <c r="E49" i="8"/>
  <c r="C49" i="8"/>
  <c r="G48" i="8"/>
  <c r="F48" i="8"/>
  <c r="E48" i="8"/>
  <c r="C48" i="8"/>
  <c r="G47" i="8"/>
  <c r="F47" i="8"/>
  <c r="E47" i="8"/>
  <c r="C47" i="8"/>
  <c r="G46" i="8"/>
  <c r="F46" i="8"/>
  <c r="E46" i="8"/>
  <c r="C46" i="8"/>
  <c r="G45" i="8"/>
  <c r="F45" i="8"/>
  <c r="E45" i="8"/>
  <c r="C45" i="8"/>
  <c r="G44" i="8"/>
  <c r="F44" i="8"/>
  <c r="E44" i="8"/>
  <c r="C44" i="8"/>
  <c r="G43" i="8"/>
  <c r="F43" i="8"/>
  <c r="E43" i="8"/>
  <c r="C43" i="8"/>
  <c r="G42" i="8"/>
  <c r="F42" i="8"/>
  <c r="E42" i="8"/>
  <c r="C42" i="8"/>
  <c r="G41" i="8"/>
  <c r="F41" i="8"/>
  <c r="E41" i="8"/>
  <c r="C41" i="8"/>
  <c r="G40" i="8"/>
  <c r="F40" i="8"/>
  <c r="E40" i="8"/>
  <c r="C40" i="8"/>
  <c r="G39" i="8"/>
  <c r="F39" i="8"/>
  <c r="E39" i="8"/>
  <c r="C39" i="8"/>
  <c r="G38" i="8"/>
  <c r="F38" i="8"/>
  <c r="E38" i="8"/>
  <c r="C38" i="8"/>
  <c r="G37" i="8"/>
  <c r="F37" i="8"/>
  <c r="E37" i="8"/>
  <c r="C37" i="8"/>
  <c r="G36" i="8"/>
  <c r="F36" i="8"/>
  <c r="E36" i="8"/>
  <c r="C36" i="8"/>
  <c r="G35" i="8"/>
  <c r="F35" i="8"/>
  <c r="E35" i="8"/>
  <c r="C35" i="8"/>
  <c r="G34" i="8"/>
  <c r="F34" i="8"/>
  <c r="E34" i="8"/>
  <c r="C34" i="8"/>
  <c r="G33" i="8"/>
  <c r="F33" i="8"/>
  <c r="E33" i="8"/>
  <c r="C33" i="8"/>
  <c r="G32" i="8"/>
  <c r="F32" i="8"/>
  <c r="E32" i="8"/>
  <c r="C32" i="8"/>
  <c r="G31" i="8"/>
  <c r="F31" i="8"/>
  <c r="E31" i="8"/>
  <c r="C31" i="8"/>
  <c r="G30" i="8"/>
  <c r="F30" i="8"/>
  <c r="E30" i="8"/>
  <c r="C30" i="8"/>
  <c r="G29" i="8"/>
  <c r="F29" i="8"/>
  <c r="E29" i="8"/>
  <c r="C29" i="8"/>
  <c r="G28" i="8"/>
  <c r="F28" i="8"/>
  <c r="E28" i="8"/>
  <c r="C28" i="8"/>
  <c r="G27" i="8"/>
  <c r="F27" i="8"/>
  <c r="E27" i="8"/>
  <c r="C27" i="8"/>
  <c r="G26" i="8"/>
  <c r="F26" i="8"/>
  <c r="E26" i="8"/>
  <c r="C26" i="8"/>
  <c r="G25" i="8"/>
  <c r="F25" i="8"/>
  <c r="E25" i="8"/>
  <c r="C25" i="8"/>
  <c r="G24" i="8"/>
  <c r="F24" i="8"/>
  <c r="E24" i="8"/>
  <c r="C24" i="8"/>
  <c r="G23" i="8"/>
  <c r="F23" i="8"/>
  <c r="E23" i="8"/>
  <c r="C23" i="8"/>
  <c r="G22" i="8"/>
  <c r="F22" i="8"/>
  <c r="E22" i="8"/>
  <c r="C22" i="8"/>
  <c r="G21" i="8"/>
  <c r="F21" i="8"/>
  <c r="E21" i="8"/>
  <c r="C21" i="8"/>
  <c r="G20" i="8"/>
  <c r="F20" i="8"/>
  <c r="E20" i="8"/>
  <c r="C20" i="8"/>
  <c r="G19" i="8"/>
  <c r="F19" i="8"/>
  <c r="E19" i="8"/>
  <c r="C19" i="8"/>
  <c r="G18" i="8"/>
  <c r="F18" i="8"/>
  <c r="E18" i="8"/>
  <c r="C18" i="8"/>
  <c r="G17" i="8"/>
  <c r="F17" i="8"/>
  <c r="E17" i="8"/>
  <c r="C17" i="8"/>
  <c r="G16" i="8"/>
  <c r="F16" i="8"/>
  <c r="E16" i="8"/>
  <c r="C16" i="8"/>
  <c r="G15" i="8"/>
  <c r="F15" i="8"/>
  <c r="E15" i="8"/>
  <c r="C15" i="8"/>
  <c r="G14" i="8"/>
  <c r="F14" i="8"/>
  <c r="E14" i="8"/>
  <c r="C14" i="8"/>
  <c r="G13" i="8"/>
  <c r="F13" i="8"/>
  <c r="E13" i="8"/>
  <c r="C13" i="8"/>
  <c r="G12" i="8"/>
  <c r="F12" i="8"/>
  <c r="E12" i="8"/>
  <c r="C12" i="8"/>
  <c r="G11" i="8"/>
  <c r="F11" i="8"/>
  <c r="E11" i="8"/>
  <c r="C11" i="8"/>
  <c r="G10" i="8"/>
  <c r="F10" i="8"/>
  <c r="E10" i="8"/>
  <c r="C10" i="8"/>
  <c r="G9" i="8"/>
  <c r="F9" i="8"/>
  <c r="E9" i="8"/>
  <c r="C9" i="8"/>
  <c r="G8" i="8"/>
  <c r="F8" i="8"/>
  <c r="E8" i="8"/>
  <c r="C8" i="8"/>
  <c r="G7" i="8"/>
  <c r="F7" i="8"/>
  <c r="E7" i="8"/>
  <c r="C7" i="8"/>
  <c r="G6" i="8"/>
  <c r="F6" i="8"/>
  <c r="E6" i="8"/>
  <c r="C6" i="8"/>
  <c r="G5" i="8"/>
  <c r="F5" i="8"/>
  <c r="E5" i="8"/>
  <c r="C5" i="8"/>
  <c r="G4" i="8"/>
  <c r="F4" i="8"/>
  <c r="E4" i="8"/>
  <c r="C4" i="8"/>
  <c r="G3" i="8"/>
  <c r="F3" i="8"/>
  <c r="E3" i="8"/>
  <c r="C3" i="8"/>
  <c r="G231" i="7"/>
  <c r="F231" i="7"/>
  <c r="E231" i="7"/>
  <c r="G230" i="7"/>
  <c r="F230" i="7"/>
  <c r="E230" i="7"/>
  <c r="G229" i="7"/>
  <c r="F229" i="7"/>
  <c r="E229" i="7"/>
  <c r="G228" i="7"/>
  <c r="F228" i="7"/>
  <c r="E228" i="7"/>
  <c r="G227" i="7"/>
  <c r="F227" i="7"/>
  <c r="E227" i="7"/>
  <c r="G226" i="7"/>
  <c r="F226" i="7"/>
  <c r="E226" i="7"/>
  <c r="G225" i="7"/>
  <c r="F225" i="7"/>
  <c r="E225" i="7"/>
  <c r="G224" i="7"/>
  <c r="F224" i="7"/>
  <c r="E224" i="7"/>
  <c r="G223" i="7"/>
  <c r="F223" i="7"/>
  <c r="E223" i="7"/>
  <c r="G222" i="7"/>
  <c r="F222" i="7"/>
  <c r="E222" i="7"/>
  <c r="G221" i="7"/>
  <c r="F221" i="7"/>
  <c r="E221" i="7"/>
  <c r="G220" i="7"/>
  <c r="F220" i="7"/>
  <c r="E220" i="7"/>
  <c r="G219" i="7"/>
  <c r="F219" i="7"/>
  <c r="E219" i="7"/>
  <c r="G218" i="7"/>
  <c r="F218" i="7"/>
  <c r="E218" i="7"/>
  <c r="G217" i="7"/>
  <c r="F217" i="7"/>
  <c r="E217" i="7"/>
  <c r="G216" i="7"/>
  <c r="F216" i="7"/>
  <c r="E216" i="7"/>
  <c r="G215" i="7"/>
  <c r="F215" i="7"/>
  <c r="E215" i="7"/>
  <c r="G214" i="7"/>
  <c r="F214" i="7"/>
  <c r="E214" i="7"/>
  <c r="G213" i="7"/>
  <c r="F213" i="7"/>
  <c r="E213" i="7"/>
  <c r="G212" i="7"/>
  <c r="F212" i="7"/>
  <c r="E212" i="7"/>
  <c r="G211" i="7"/>
  <c r="F211" i="7"/>
  <c r="E211" i="7"/>
  <c r="G210" i="7"/>
  <c r="F210" i="7"/>
  <c r="E210" i="7"/>
  <c r="G209" i="7"/>
  <c r="F209" i="7"/>
  <c r="E209" i="7"/>
  <c r="G208" i="7"/>
  <c r="F208" i="7"/>
  <c r="E208" i="7"/>
  <c r="G207" i="7"/>
  <c r="F207" i="7"/>
  <c r="E207" i="7"/>
  <c r="G206" i="7"/>
  <c r="F206" i="7"/>
  <c r="E206" i="7"/>
  <c r="G205" i="7"/>
  <c r="F205" i="7"/>
  <c r="E205" i="7"/>
  <c r="G204" i="7"/>
  <c r="F204" i="7"/>
  <c r="E204" i="7"/>
  <c r="G203" i="7"/>
  <c r="F203" i="7"/>
  <c r="E203" i="7"/>
  <c r="G202" i="7"/>
  <c r="F202" i="7"/>
  <c r="E202" i="7"/>
  <c r="G201" i="7"/>
  <c r="F201" i="7"/>
  <c r="E201" i="7"/>
  <c r="G200" i="7"/>
  <c r="F200" i="7"/>
  <c r="E200" i="7"/>
  <c r="G199" i="7"/>
  <c r="F199" i="7"/>
  <c r="E199" i="7"/>
  <c r="G198" i="7"/>
  <c r="F198" i="7"/>
  <c r="E198" i="7"/>
  <c r="G197" i="7"/>
  <c r="F197" i="7"/>
  <c r="E197" i="7"/>
  <c r="G196" i="7"/>
  <c r="F196" i="7"/>
  <c r="E196" i="7"/>
  <c r="G195" i="7"/>
  <c r="F195" i="7"/>
  <c r="E195" i="7"/>
  <c r="G194" i="7"/>
  <c r="F194" i="7"/>
  <c r="E194" i="7"/>
  <c r="G193" i="7"/>
  <c r="F193" i="7"/>
  <c r="E193" i="7"/>
  <c r="G192" i="7"/>
  <c r="F192" i="7"/>
  <c r="E192" i="7"/>
  <c r="G191" i="7"/>
  <c r="F191" i="7"/>
  <c r="E191" i="7"/>
  <c r="C191" i="7"/>
  <c r="G190" i="7"/>
  <c r="F190" i="7"/>
  <c r="E190" i="7"/>
  <c r="C190" i="7"/>
  <c r="G189" i="7"/>
  <c r="F189" i="7"/>
  <c r="E189" i="7"/>
  <c r="C189" i="7"/>
  <c r="G188" i="7"/>
  <c r="F188" i="7"/>
  <c r="E188" i="7"/>
  <c r="C188" i="7"/>
  <c r="G187" i="7"/>
  <c r="F187" i="7"/>
  <c r="E187" i="7"/>
  <c r="C187" i="7"/>
  <c r="G186" i="7"/>
  <c r="F186" i="7"/>
  <c r="E186" i="7"/>
  <c r="C186" i="7"/>
  <c r="G185" i="7"/>
  <c r="F185" i="7"/>
  <c r="E185" i="7"/>
  <c r="C185" i="7"/>
  <c r="G184" i="7"/>
  <c r="F184" i="7"/>
  <c r="E184" i="7"/>
  <c r="C184" i="7"/>
  <c r="G183" i="7"/>
  <c r="F183" i="7"/>
  <c r="E183" i="7"/>
  <c r="C183" i="7"/>
  <c r="G182" i="7"/>
  <c r="F182" i="7"/>
  <c r="E182" i="7"/>
  <c r="C182" i="7"/>
  <c r="G181" i="7"/>
  <c r="F181" i="7"/>
  <c r="E181" i="7"/>
  <c r="C181" i="7"/>
  <c r="G180" i="7"/>
  <c r="F180" i="7"/>
  <c r="E180" i="7"/>
  <c r="C180" i="7"/>
  <c r="G179" i="7"/>
  <c r="F179" i="7"/>
  <c r="E179" i="7"/>
  <c r="C179" i="7"/>
  <c r="G178" i="7"/>
  <c r="F178" i="7"/>
  <c r="E178" i="7"/>
  <c r="C178" i="7"/>
  <c r="G177" i="7"/>
  <c r="F177" i="7"/>
  <c r="E177" i="7"/>
  <c r="C177" i="7"/>
  <c r="G176" i="7"/>
  <c r="F176" i="7"/>
  <c r="E176" i="7"/>
  <c r="C176" i="7"/>
  <c r="G175" i="7"/>
  <c r="F175" i="7"/>
  <c r="E175" i="7"/>
  <c r="C175" i="7"/>
  <c r="G174" i="7"/>
  <c r="F174" i="7"/>
  <c r="E174" i="7"/>
  <c r="C174" i="7"/>
  <c r="G173" i="7"/>
  <c r="F173" i="7"/>
  <c r="E173" i="7"/>
  <c r="C173" i="7"/>
  <c r="G172" i="7"/>
  <c r="F172" i="7"/>
  <c r="E172" i="7"/>
  <c r="C172" i="7"/>
  <c r="G171" i="7"/>
  <c r="F171" i="7"/>
  <c r="E171" i="7"/>
  <c r="C171" i="7"/>
  <c r="G170" i="7"/>
  <c r="F170" i="7"/>
  <c r="E170" i="7"/>
  <c r="C170" i="7"/>
  <c r="G169" i="7"/>
  <c r="F169" i="7"/>
  <c r="E169" i="7"/>
  <c r="C169" i="7"/>
  <c r="G168" i="7"/>
  <c r="F168" i="7"/>
  <c r="E168" i="7"/>
  <c r="C168" i="7"/>
  <c r="G167" i="7"/>
  <c r="F167" i="7"/>
  <c r="E167" i="7"/>
  <c r="C167" i="7"/>
  <c r="G166" i="7"/>
  <c r="F166" i="7"/>
  <c r="E166" i="7"/>
  <c r="C166" i="7"/>
  <c r="G165" i="7"/>
  <c r="F165" i="7"/>
  <c r="E165" i="7"/>
  <c r="C165" i="7"/>
  <c r="G164" i="7"/>
  <c r="F164" i="7"/>
  <c r="E164" i="7"/>
  <c r="C164" i="7"/>
  <c r="G163" i="7"/>
  <c r="F163" i="7"/>
  <c r="E163" i="7"/>
  <c r="C163" i="7"/>
  <c r="G162" i="7"/>
  <c r="F162" i="7"/>
  <c r="E162" i="7"/>
  <c r="C162" i="7"/>
  <c r="G161" i="7"/>
  <c r="F161" i="7"/>
  <c r="E161" i="7"/>
  <c r="C161" i="7"/>
  <c r="G160" i="7"/>
  <c r="F160" i="7"/>
  <c r="E160" i="7"/>
  <c r="C160" i="7"/>
  <c r="G159" i="7"/>
  <c r="F159" i="7"/>
  <c r="E159" i="7"/>
  <c r="C159" i="7"/>
  <c r="G158" i="7"/>
  <c r="F158" i="7"/>
  <c r="E158" i="7"/>
  <c r="C158" i="7"/>
  <c r="G157" i="7"/>
  <c r="F157" i="7"/>
  <c r="E157" i="7"/>
  <c r="C157" i="7"/>
  <c r="G156" i="7"/>
  <c r="F156" i="7"/>
  <c r="E156" i="7"/>
  <c r="C156" i="7"/>
  <c r="G155" i="7"/>
  <c r="F155" i="7"/>
  <c r="E155" i="7"/>
  <c r="C155" i="7"/>
  <c r="G154" i="7"/>
  <c r="F154" i="7"/>
  <c r="E154" i="7"/>
  <c r="C154" i="7"/>
  <c r="G153" i="7"/>
  <c r="F153" i="7"/>
  <c r="E153" i="7"/>
  <c r="C153" i="7"/>
  <c r="G152" i="7"/>
  <c r="F152" i="7"/>
  <c r="E152" i="7"/>
  <c r="C152" i="7"/>
  <c r="G151" i="7"/>
  <c r="F151" i="7"/>
  <c r="E151" i="7"/>
  <c r="C151" i="7"/>
  <c r="G150" i="7"/>
  <c r="F150" i="7"/>
  <c r="E150" i="7"/>
  <c r="C150" i="7"/>
  <c r="G149" i="7"/>
  <c r="F149" i="7"/>
  <c r="E149" i="7"/>
  <c r="C149" i="7"/>
  <c r="G148" i="7"/>
  <c r="F148" i="7"/>
  <c r="E148" i="7"/>
  <c r="C148" i="7"/>
  <c r="G147" i="7"/>
  <c r="F147" i="7"/>
  <c r="E147" i="7"/>
  <c r="C147" i="7"/>
  <c r="G146" i="7"/>
  <c r="F146" i="7"/>
  <c r="E146" i="7"/>
  <c r="C146" i="7"/>
  <c r="G145" i="7"/>
  <c r="F145" i="7"/>
  <c r="E145" i="7"/>
  <c r="C145" i="7"/>
  <c r="G144" i="7"/>
  <c r="F144" i="7"/>
  <c r="E144" i="7"/>
  <c r="C144" i="7"/>
  <c r="G143" i="7"/>
  <c r="F143" i="7"/>
  <c r="E143" i="7"/>
  <c r="C143" i="7"/>
  <c r="G142" i="7"/>
  <c r="F142" i="7"/>
  <c r="E142" i="7"/>
  <c r="C142" i="7"/>
  <c r="G141" i="7"/>
  <c r="F141" i="7"/>
  <c r="E141" i="7"/>
  <c r="C141" i="7"/>
  <c r="G140" i="7"/>
  <c r="F140" i="7"/>
  <c r="E140" i="7"/>
  <c r="C140" i="7"/>
  <c r="G139" i="7"/>
  <c r="F139" i="7"/>
  <c r="E139" i="7"/>
  <c r="C139" i="7"/>
  <c r="G138" i="7"/>
  <c r="F138" i="7"/>
  <c r="E138" i="7"/>
  <c r="C138" i="7"/>
  <c r="G137" i="7"/>
  <c r="F137" i="7"/>
  <c r="E137" i="7"/>
  <c r="C137" i="7"/>
  <c r="G136" i="7"/>
  <c r="F136" i="7"/>
  <c r="E136" i="7"/>
  <c r="C136" i="7"/>
  <c r="G135" i="7"/>
  <c r="F135" i="7"/>
  <c r="E135" i="7"/>
  <c r="C135" i="7"/>
  <c r="G134" i="7"/>
  <c r="F134" i="7"/>
  <c r="E134" i="7"/>
  <c r="C134" i="7"/>
  <c r="G133" i="7"/>
  <c r="F133" i="7"/>
  <c r="E133" i="7"/>
  <c r="C133" i="7"/>
  <c r="G132" i="7"/>
  <c r="F132" i="7"/>
  <c r="E132" i="7"/>
  <c r="C132" i="7"/>
  <c r="G131" i="7"/>
  <c r="F131" i="7"/>
  <c r="E131" i="7"/>
  <c r="C131" i="7"/>
  <c r="G130" i="7"/>
  <c r="F130" i="7"/>
  <c r="E130" i="7"/>
  <c r="C130" i="7"/>
  <c r="G129" i="7"/>
  <c r="F129" i="7"/>
  <c r="E129" i="7"/>
  <c r="C129" i="7"/>
  <c r="G128" i="7"/>
  <c r="F128" i="7"/>
  <c r="E128" i="7"/>
  <c r="C128" i="7"/>
  <c r="G127" i="7"/>
  <c r="F127" i="7"/>
  <c r="E127" i="7"/>
  <c r="C127" i="7"/>
  <c r="G126" i="7"/>
  <c r="F126" i="7"/>
  <c r="E126" i="7"/>
  <c r="C126" i="7"/>
  <c r="G125" i="7"/>
  <c r="F125" i="7"/>
  <c r="E125" i="7"/>
  <c r="C125" i="7"/>
  <c r="G124" i="7"/>
  <c r="F124" i="7"/>
  <c r="E124" i="7"/>
  <c r="C124" i="7"/>
  <c r="G123" i="7"/>
  <c r="F123" i="7"/>
  <c r="E123" i="7"/>
  <c r="C123" i="7"/>
  <c r="G122" i="7"/>
  <c r="F122" i="7"/>
  <c r="E122" i="7"/>
  <c r="C122" i="7"/>
  <c r="G121" i="7"/>
  <c r="F121" i="7"/>
  <c r="E121" i="7"/>
  <c r="C121" i="7"/>
  <c r="G120" i="7"/>
  <c r="F120" i="7"/>
  <c r="E120" i="7"/>
  <c r="C120" i="7"/>
  <c r="G119" i="7"/>
  <c r="F119" i="7"/>
  <c r="E119" i="7"/>
  <c r="C119" i="7"/>
  <c r="G118" i="7"/>
  <c r="F118" i="7"/>
  <c r="E118" i="7"/>
  <c r="C118" i="7"/>
  <c r="G117" i="7"/>
  <c r="F117" i="7"/>
  <c r="E117" i="7"/>
  <c r="C117" i="7"/>
  <c r="G116" i="7"/>
  <c r="F116" i="7"/>
  <c r="E116" i="7"/>
  <c r="C116" i="7"/>
  <c r="G115" i="7"/>
  <c r="F115" i="7"/>
  <c r="E115" i="7"/>
  <c r="C115" i="7"/>
  <c r="G114" i="7"/>
  <c r="F114" i="7"/>
  <c r="E114" i="7"/>
  <c r="C114" i="7"/>
  <c r="G113" i="7"/>
  <c r="F113" i="7"/>
  <c r="E113" i="7"/>
  <c r="C113" i="7"/>
  <c r="G112" i="7"/>
  <c r="F112" i="7"/>
  <c r="E112" i="7"/>
  <c r="C112" i="7"/>
  <c r="G111" i="7"/>
  <c r="F111" i="7"/>
  <c r="E111" i="7"/>
  <c r="C111" i="7"/>
  <c r="G110" i="7"/>
  <c r="F110" i="7"/>
  <c r="E110" i="7"/>
  <c r="C110" i="7"/>
  <c r="G109" i="7"/>
  <c r="F109" i="7"/>
  <c r="E109" i="7"/>
  <c r="C109" i="7"/>
  <c r="G108" i="7"/>
  <c r="F108" i="7"/>
  <c r="E108" i="7"/>
  <c r="C108" i="7"/>
  <c r="G107" i="7"/>
  <c r="F107" i="7"/>
  <c r="E107" i="7"/>
  <c r="C107" i="7"/>
  <c r="G106" i="7"/>
  <c r="F106" i="7"/>
  <c r="E106" i="7"/>
  <c r="C106" i="7"/>
  <c r="G105" i="7"/>
  <c r="F105" i="7"/>
  <c r="E105" i="7"/>
  <c r="C105" i="7"/>
  <c r="G104" i="7"/>
  <c r="F104" i="7"/>
  <c r="E104" i="7"/>
  <c r="C104" i="7"/>
  <c r="G103" i="7"/>
  <c r="F103" i="7"/>
  <c r="E103" i="7"/>
  <c r="C103" i="7"/>
  <c r="G102" i="7"/>
  <c r="F102" i="7"/>
  <c r="E102" i="7"/>
  <c r="C102" i="7"/>
  <c r="G101" i="7"/>
  <c r="F101" i="7"/>
  <c r="E101" i="7"/>
  <c r="C101" i="7"/>
  <c r="G100" i="7"/>
  <c r="F100" i="7"/>
  <c r="E100" i="7"/>
  <c r="C100" i="7"/>
  <c r="G99" i="7"/>
  <c r="F99" i="7"/>
  <c r="E99" i="7"/>
  <c r="C99" i="7"/>
  <c r="G98" i="7"/>
  <c r="F98" i="7"/>
  <c r="E98" i="7"/>
  <c r="C98" i="7"/>
  <c r="G97" i="7"/>
  <c r="F97" i="7"/>
  <c r="E97" i="7"/>
  <c r="C97" i="7"/>
  <c r="G96" i="7"/>
  <c r="F96" i="7"/>
  <c r="E96" i="7"/>
  <c r="C96" i="7"/>
  <c r="G95" i="7"/>
  <c r="F95" i="7"/>
  <c r="E95" i="7"/>
  <c r="C95" i="7"/>
  <c r="G94" i="7"/>
  <c r="F94" i="7"/>
  <c r="E94" i="7"/>
  <c r="C94" i="7"/>
  <c r="G93" i="7"/>
  <c r="F93" i="7"/>
  <c r="E93" i="7"/>
  <c r="C93" i="7"/>
  <c r="G92" i="7"/>
  <c r="F92" i="7"/>
  <c r="E92" i="7"/>
  <c r="C92" i="7"/>
  <c r="G91" i="7"/>
  <c r="F91" i="7"/>
  <c r="E91" i="7"/>
  <c r="C91" i="7"/>
  <c r="G90" i="7"/>
  <c r="F90" i="7"/>
  <c r="E90" i="7"/>
  <c r="C90" i="7"/>
  <c r="G89" i="7"/>
  <c r="F89" i="7"/>
  <c r="E89" i="7"/>
  <c r="C89" i="7"/>
  <c r="G88" i="7"/>
  <c r="F88" i="7"/>
  <c r="E88" i="7"/>
  <c r="C88" i="7"/>
  <c r="G87" i="7"/>
  <c r="F87" i="7"/>
  <c r="E87" i="7"/>
  <c r="C87" i="7"/>
  <c r="G86" i="7"/>
  <c r="F86" i="7"/>
  <c r="E86" i="7"/>
  <c r="C86" i="7"/>
  <c r="G85" i="7"/>
  <c r="F85" i="7"/>
  <c r="E85" i="7"/>
  <c r="C85" i="7"/>
  <c r="G84" i="7"/>
  <c r="F84" i="7"/>
  <c r="E84" i="7"/>
  <c r="C84" i="7"/>
  <c r="G83" i="7"/>
  <c r="F83" i="7"/>
  <c r="E83" i="7"/>
  <c r="C83" i="7"/>
  <c r="G82" i="7"/>
  <c r="F82" i="7"/>
  <c r="E82" i="7"/>
  <c r="C82" i="7"/>
  <c r="G81" i="7"/>
  <c r="F81" i="7"/>
  <c r="E81" i="7"/>
  <c r="C81" i="7"/>
  <c r="G80" i="7"/>
  <c r="F80" i="7"/>
  <c r="E80" i="7"/>
  <c r="C80" i="7"/>
  <c r="G79" i="7"/>
  <c r="F79" i="7"/>
  <c r="E79" i="7"/>
  <c r="C79" i="7"/>
  <c r="G78" i="7"/>
  <c r="F78" i="7"/>
  <c r="E78" i="7"/>
  <c r="C78" i="7"/>
  <c r="G77" i="7"/>
  <c r="F77" i="7"/>
  <c r="E77" i="7"/>
  <c r="C77" i="7"/>
  <c r="G76" i="7"/>
  <c r="F76" i="7"/>
  <c r="E76" i="7"/>
  <c r="C76" i="7"/>
  <c r="G75" i="7"/>
  <c r="F75" i="7"/>
  <c r="E75" i="7"/>
  <c r="C75" i="7"/>
  <c r="G74" i="7"/>
  <c r="F74" i="7"/>
  <c r="E74" i="7"/>
  <c r="C74" i="7"/>
  <c r="G73" i="7"/>
  <c r="F73" i="7"/>
  <c r="E73" i="7"/>
  <c r="C73" i="7"/>
  <c r="G72" i="7"/>
  <c r="F72" i="7"/>
  <c r="E72" i="7"/>
  <c r="C72" i="7"/>
  <c r="G71" i="7"/>
  <c r="F71" i="7"/>
  <c r="E71" i="7"/>
  <c r="C71" i="7"/>
  <c r="G70" i="7"/>
  <c r="F70" i="7"/>
  <c r="E70" i="7"/>
  <c r="C70" i="7"/>
  <c r="G69" i="7"/>
  <c r="F69" i="7"/>
  <c r="E69" i="7"/>
  <c r="C69" i="7"/>
  <c r="G68" i="7"/>
  <c r="F68" i="7"/>
  <c r="E68" i="7"/>
  <c r="C68" i="7"/>
  <c r="G67" i="7"/>
  <c r="F67" i="7"/>
  <c r="E67" i="7"/>
  <c r="C67" i="7"/>
  <c r="G66" i="7"/>
  <c r="F66" i="7"/>
  <c r="E66" i="7"/>
  <c r="C66" i="7"/>
  <c r="G65" i="7"/>
  <c r="F65" i="7"/>
  <c r="E65" i="7"/>
  <c r="C65" i="7"/>
  <c r="G64" i="7"/>
  <c r="F64" i="7"/>
  <c r="E64" i="7"/>
  <c r="C64" i="7"/>
  <c r="G63" i="7"/>
  <c r="F63" i="7"/>
  <c r="E63" i="7"/>
  <c r="C63" i="7"/>
  <c r="G62" i="7"/>
  <c r="F62" i="7"/>
  <c r="E62" i="7"/>
  <c r="C62" i="7"/>
  <c r="G61" i="7"/>
  <c r="F61" i="7"/>
  <c r="E61" i="7"/>
  <c r="C61" i="7"/>
  <c r="G60" i="7"/>
  <c r="F60" i="7"/>
  <c r="E60" i="7"/>
  <c r="C60" i="7"/>
  <c r="G59" i="7"/>
  <c r="F59" i="7"/>
  <c r="E59" i="7"/>
  <c r="C59" i="7"/>
  <c r="G58" i="7"/>
  <c r="F58" i="7"/>
  <c r="E58" i="7"/>
  <c r="C58" i="7"/>
  <c r="G57" i="7"/>
  <c r="F57" i="7"/>
  <c r="E57" i="7"/>
  <c r="C57" i="7"/>
  <c r="G56" i="7"/>
  <c r="F56" i="7"/>
  <c r="E56" i="7"/>
  <c r="C56" i="7"/>
  <c r="G55" i="7"/>
  <c r="F55" i="7"/>
  <c r="E55" i="7"/>
  <c r="C55" i="7"/>
  <c r="G54" i="7"/>
  <c r="F54" i="7"/>
  <c r="E54" i="7"/>
  <c r="C54" i="7"/>
  <c r="G53" i="7"/>
  <c r="F53" i="7"/>
  <c r="E53" i="7"/>
  <c r="C53" i="7"/>
  <c r="G52" i="7"/>
  <c r="F52" i="7"/>
  <c r="E52" i="7"/>
  <c r="C52" i="7"/>
  <c r="G51" i="7"/>
  <c r="F51" i="7"/>
  <c r="E51" i="7"/>
  <c r="C51" i="7"/>
  <c r="G50" i="7"/>
  <c r="F50" i="7"/>
  <c r="E50" i="7"/>
  <c r="C50" i="7"/>
  <c r="G49" i="7"/>
  <c r="F49" i="7"/>
  <c r="E49" i="7"/>
  <c r="C49" i="7"/>
  <c r="G48" i="7"/>
  <c r="F48" i="7"/>
  <c r="E48" i="7"/>
  <c r="C48" i="7"/>
  <c r="G47" i="7"/>
  <c r="F47" i="7"/>
  <c r="E47" i="7"/>
  <c r="C47" i="7"/>
  <c r="G46" i="7"/>
  <c r="F46" i="7"/>
  <c r="E46" i="7"/>
  <c r="C46" i="7"/>
  <c r="G45" i="7"/>
  <c r="F45" i="7"/>
  <c r="E45" i="7"/>
  <c r="C45" i="7"/>
  <c r="G44" i="7"/>
  <c r="F44" i="7"/>
  <c r="E44" i="7"/>
  <c r="C44" i="7"/>
  <c r="G43" i="7"/>
  <c r="F43" i="7"/>
  <c r="E43" i="7"/>
  <c r="C43" i="7"/>
  <c r="G42" i="7"/>
  <c r="F42" i="7"/>
  <c r="E42" i="7"/>
  <c r="C42" i="7"/>
  <c r="G41" i="7"/>
  <c r="F41" i="7"/>
  <c r="E41" i="7"/>
  <c r="C41" i="7"/>
  <c r="G40" i="7"/>
  <c r="F40" i="7"/>
  <c r="E40" i="7"/>
  <c r="C40" i="7"/>
  <c r="G39" i="7"/>
  <c r="F39" i="7"/>
  <c r="E39" i="7"/>
  <c r="C39" i="7"/>
  <c r="G38" i="7"/>
  <c r="F38" i="7"/>
  <c r="E38" i="7"/>
  <c r="C38" i="7"/>
  <c r="G37" i="7"/>
  <c r="F37" i="7"/>
  <c r="E37" i="7"/>
  <c r="C37" i="7"/>
  <c r="G36" i="7"/>
  <c r="F36" i="7"/>
  <c r="E36" i="7"/>
  <c r="C36" i="7"/>
  <c r="G35" i="7"/>
  <c r="F35" i="7"/>
  <c r="E35" i="7"/>
  <c r="C35" i="7"/>
  <c r="G34" i="7"/>
  <c r="F34" i="7"/>
  <c r="E34" i="7"/>
  <c r="C34" i="7"/>
  <c r="G33" i="7"/>
  <c r="F33" i="7"/>
  <c r="E33" i="7"/>
  <c r="C33" i="7"/>
  <c r="G32" i="7"/>
  <c r="F32" i="7"/>
  <c r="E32" i="7"/>
  <c r="C32" i="7"/>
  <c r="G31" i="7"/>
  <c r="F31" i="7"/>
  <c r="E31" i="7"/>
  <c r="C31" i="7"/>
  <c r="G30" i="7"/>
  <c r="F30" i="7"/>
  <c r="E30" i="7"/>
  <c r="C30" i="7"/>
  <c r="G29" i="7"/>
  <c r="F29" i="7"/>
  <c r="E29" i="7"/>
  <c r="C29" i="7"/>
  <c r="G28" i="7"/>
  <c r="F28" i="7"/>
  <c r="E28" i="7"/>
  <c r="C28" i="7"/>
  <c r="G27" i="7"/>
  <c r="F27" i="7"/>
  <c r="E27" i="7"/>
  <c r="C27" i="7"/>
  <c r="G26" i="7"/>
  <c r="F26" i="7"/>
  <c r="E26" i="7"/>
  <c r="C26" i="7"/>
  <c r="G25" i="7"/>
  <c r="F25" i="7"/>
  <c r="E25" i="7"/>
  <c r="C25" i="7"/>
  <c r="G24" i="7"/>
  <c r="F24" i="7"/>
  <c r="E24" i="7"/>
  <c r="C24" i="7"/>
  <c r="G23" i="7"/>
  <c r="F23" i="7"/>
  <c r="E23" i="7"/>
  <c r="C23" i="7"/>
  <c r="G22" i="7"/>
  <c r="F22" i="7"/>
  <c r="E22" i="7"/>
  <c r="C22" i="7"/>
  <c r="G21" i="7"/>
  <c r="F21" i="7"/>
  <c r="E21" i="7"/>
  <c r="C21" i="7"/>
  <c r="G20" i="7"/>
  <c r="F20" i="7"/>
  <c r="E20" i="7"/>
  <c r="C20" i="7"/>
  <c r="G19" i="7"/>
  <c r="F19" i="7"/>
  <c r="E19" i="7"/>
  <c r="C19" i="7"/>
  <c r="G18" i="7"/>
  <c r="F18" i="7"/>
  <c r="E18" i="7"/>
  <c r="C18" i="7"/>
  <c r="G17" i="7"/>
  <c r="F17" i="7"/>
  <c r="E17" i="7"/>
  <c r="C17" i="7"/>
  <c r="G16" i="7"/>
  <c r="F16" i="7"/>
  <c r="E16" i="7"/>
  <c r="C16" i="7"/>
  <c r="G15" i="7"/>
  <c r="F15" i="7"/>
  <c r="E15" i="7"/>
  <c r="C15" i="7"/>
  <c r="G14" i="7"/>
  <c r="F14" i="7"/>
  <c r="E14" i="7"/>
  <c r="C14" i="7"/>
  <c r="G13" i="7"/>
  <c r="F13" i="7"/>
  <c r="E13" i="7"/>
  <c r="C13" i="7"/>
  <c r="G12" i="7"/>
  <c r="F12" i="7"/>
  <c r="E12" i="7"/>
  <c r="C12" i="7"/>
  <c r="G11" i="7"/>
  <c r="F11" i="7"/>
  <c r="E11" i="7"/>
  <c r="C11" i="7"/>
  <c r="G10" i="7"/>
  <c r="F10" i="7"/>
  <c r="E10" i="7"/>
  <c r="C10" i="7"/>
  <c r="G9" i="7"/>
  <c r="E9" i="7"/>
  <c r="C9" i="7"/>
  <c r="G8" i="7"/>
  <c r="F8" i="7"/>
  <c r="E8" i="7"/>
  <c r="C8" i="7"/>
  <c r="G7" i="7"/>
  <c r="F7" i="7"/>
  <c r="E7" i="7"/>
  <c r="C7" i="7"/>
  <c r="G6" i="7"/>
  <c r="F6" i="7"/>
  <c r="E6" i="7"/>
  <c r="C6" i="7"/>
  <c r="G5" i="7"/>
  <c r="F5" i="7"/>
  <c r="E5" i="7"/>
  <c r="C5" i="7"/>
  <c r="G4" i="7"/>
  <c r="F4" i="7"/>
  <c r="E4" i="7"/>
  <c r="C4" i="7"/>
  <c r="G3" i="7"/>
  <c r="F3" i="7"/>
  <c r="E3" i="7"/>
  <c r="C3" i="7"/>
  <c r="J101" i="6"/>
  <c r="E101" i="6"/>
  <c r="D101" i="6"/>
  <c r="J100" i="6"/>
  <c r="D100" i="6" s="1"/>
  <c r="E100" i="6"/>
  <c r="J99" i="6"/>
  <c r="D99" i="6" s="1"/>
  <c r="E99" i="6"/>
  <c r="J98" i="6"/>
  <c r="D98" i="6" s="1"/>
  <c r="E98" i="6"/>
  <c r="J97" i="6"/>
  <c r="E97" i="6"/>
  <c r="D97" i="6"/>
  <c r="J96" i="6"/>
  <c r="D96" i="6" s="1"/>
  <c r="E96" i="6"/>
  <c r="J95" i="6"/>
  <c r="D95" i="6" s="1"/>
  <c r="E95" i="6"/>
  <c r="E94" i="6"/>
  <c r="D94" i="6"/>
  <c r="J93" i="6"/>
  <c r="E93" i="6"/>
  <c r="D93" i="6"/>
  <c r="J92" i="6"/>
  <c r="D92" i="6" s="1"/>
  <c r="E92" i="6"/>
  <c r="J91" i="6"/>
  <c r="D91" i="6" s="1"/>
  <c r="E91" i="6"/>
  <c r="J90" i="6"/>
  <c r="D90" i="6" s="1"/>
  <c r="E90" i="6"/>
  <c r="J89" i="6"/>
  <c r="E89" i="6"/>
  <c r="D89" i="6"/>
  <c r="E88" i="6"/>
  <c r="D88" i="6"/>
  <c r="J87" i="6"/>
  <c r="D87" i="6" s="1"/>
  <c r="E87" i="6"/>
  <c r="J86" i="6"/>
  <c r="D86" i="6" s="1"/>
  <c r="E86" i="6"/>
  <c r="J85" i="6"/>
  <c r="D85" i="6" s="1"/>
  <c r="E85" i="6"/>
  <c r="E84" i="6"/>
  <c r="D84" i="6"/>
  <c r="J83" i="6"/>
  <c r="D83" i="6" s="1"/>
  <c r="E83" i="6"/>
  <c r="E82" i="6"/>
  <c r="D82" i="6"/>
  <c r="E81" i="6"/>
  <c r="D81" i="6"/>
  <c r="E80" i="6"/>
  <c r="D80" i="6"/>
  <c r="J79" i="6"/>
  <c r="D79" i="6" s="1"/>
  <c r="E79" i="6"/>
  <c r="J78" i="6"/>
  <c r="D78" i="6" s="1"/>
  <c r="E78" i="6"/>
  <c r="J77" i="6"/>
  <c r="D77" i="6" s="1"/>
  <c r="E77" i="6"/>
  <c r="J76" i="6"/>
  <c r="D76" i="6" s="1"/>
  <c r="E76" i="6"/>
  <c r="J75" i="6"/>
  <c r="D75" i="6" s="1"/>
  <c r="E75" i="6"/>
  <c r="J74" i="6"/>
  <c r="D74" i="6" s="1"/>
  <c r="E74" i="6"/>
  <c r="J73" i="6"/>
  <c r="D73" i="6" s="1"/>
  <c r="E73" i="6"/>
  <c r="J72" i="6"/>
  <c r="D72" i="6" s="1"/>
  <c r="E72" i="6"/>
  <c r="J71" i="6"/>
  <c r="D71" i="6" s="1"/>
  <c r="E71" i="6"/>
  <c r="J70" i="6"/>
  <c r="E70" i="6"/>
  <c r="D70" i="6"/>
  <c r="J69" i="6"/>
  <c r="D69" i="6" s="1"/>
  <c r="E69" i="6"/>
  <c r="J68" i="6"/>
  <c r="D68" i="6" s="1"/>
  <c r="E68" i="6"/>
  <c r="E67" i="6"/>
  <c r="D67" i="6"/>
  <c r="J66" i="6"/>
  <c r="E66" i="6"/>
  <c r="D66" i="6"/>
  <c r="J65" i="6"/>
  <c r="D65" i="6" s="1"/>
  <c r="E65" i="6"/>
  <c r="J64" i="6"/>
  <c r="D64" i="6" s="1"/>
  <c r="E64" i="6"/>
  <c r="J63" i="6"/>
  <c r="D63" i="6" s="1"/>
  <c r="E63" i="6"/>
  <c r="J62" i="6"/>
  <c r="E62" i="6"/>
  <c r="D62" i="6"/>
  <c r="J61" i="6"/>
  <c r="D61" i="6" s="1"/>
  <c r="E61" i="6"/>
  <c r="J60" i="6"/>
  <c r="D60" i="6" s="1"/>
  <c r="E60" i="6"/>
  <c r="J59" i="6"/>
  <c r="D59" i="6" s="1"/>
  <c r="E59" i="6"/>
  <c r="J58" i="6"/>
  <c r="D58" i="6" s="1"/>
  <c r="E58" i="6"/>
  <c r="J57" i="6"/>
  <c r="D57" i="6" s="1"/>
  <c r="E57" i="6"/>
  <c r="J56" i="6"/>
  <c r="D56" i="6" s="1"/>
  <c r="E56" i="6"/>
  <c r="J55" i="6"/>
  <c r="D55" i="6" s="1"/>
  <c r="E55" i="6"/>
  <c r="J54" i="6"/>
  <c r="D54" i="6" s="1"/>
  <c r="E54" i="6"/>
  <c r="J53" i="6"/>
  <c r="D53" i="6" s="1"/>
  <c r="E53" i="6"/>
  <c r="J52" i="6"/>
  <c r="D52" i="6" s="1"/>
  <c r="E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J101" i="5"/>
  <c r="I101" i="5"/>
  <c r="E101" i="5"/>
  <c r="D101" i="5"/>
  <c r="J100" i="5"/>
  <c r="I100" i="5"/>
  <c r="E100" i="5"/>
  <c r="D100" i="5"/>
  <c r="J99" i="5"/>
  <c r="I99" i="5"/>
  <c r="E99" i="5"/>
  <c r="D99" i="5"/>
  <c r="J98" i="5"/>
  <c r="I98" i="5"/>
  <c r="E98" i="5"/>
  <c r="D98" i="5"/>
  <c r="J97" i="5"/>
  <c r="I97" i="5"/>
  <c r="E97" i="5"/>
  <c r="D97" i="5"/>
  <c r="J96" i="5"/>
  <c r="I96" i="5"/>
  <c r="E96" i="5"/>
  <c r="D96" i="5"/>
  <c r="J95" i="5"/>
  <c r="I95" i="5"/>
  <c r="E95" i="5"/>
  <c r="D95" i="5"/>
  <c r="J94" i="5"/>
  <c r="I94" i="5"/>
  <c r="E94" i="5"/>
  <c r="D94" i="5"/>
  <c r="J93" i="5"/>
  <c r="I93" i="5"/>
  <c r="E93" i="5"/>
  <c r="D93" i="5"/>
  <c r="J92" i="5"/>
  <c r="I92" i="5"/>
  <c r="E92" i="5"/>
  <c r="D92" i="5"/>
  <c r="J91" i="5"/>
  <c r="I91" i="5"/>
  <c r="E91" i="5"/>
  <c r="D91" i="5"/>
  <c r="J90" i="5"/>
  <c r="I90" i="5"/>
  <c r="E90" i="5"/>
  <c r="D90" i="5"/>
  <c r="J89" i="5"/>
  <c r="I89" i="5"/>
  <c r="E89" i="5"/>
  <c r="D89" i="5"/>
  <c r="J88" i="5"/>
  <c r="I88" i="5"/>
  <c r="E88" i="5"/>
  <c r="D88" i="5"/>
  <c r="J87" i="5"/>
  <c r="I87" i="5"/>
  <c r="E87" i="5"/>
  <c r="D87" i="5"/>
  <c r="J86" i="5"/>
  <c r="I86" i="5"/>
  <c r="E86" i="5"/>
  <c r="D86" i="5"/>
  <c r="J85" i="5"/>
  <c r="I85" i="5"/>
  <c r="E85" i="5"/>
  <c r="D85" i="5"/>
  <c r="J84" i="5"/>
  <c r="I84" i="5"/>
  <c r="E84" i="5"/>
  <c r="D84" i="5"/>
  <c r="J83" i="5"/>
  <c r="I83" i="5"/>
  <c r="E83" i="5"/>
  <c r="D83" i="5"/>
  <c r="J82" i="5"/>
  <c r="I82" i="5"/>
  <c r="E82" i="5"/>
  <c r="D82" i="5"/>
  <c r="J81" i="5"/>
  <c r="I81" i="5"/>
  <c r="E81" i="5"/>
  <c r="D81" i="5"/>
  <c r="J80" i="5"/>
  <c r="I80" i="5"/>
  <c r="E80" i="5"/>
  <c r="D80" i="5"/>
  <c r="J79" i="5"/>
  <c r="I79" i="5"/>
  <c r="E79" i="5"/>
  <c r="D79" i="5"/>
  <c r="J78" i="5"/>
  <c r="I78" i="5"/>
  <c r="E78" i="5"/>
  <c r="D78" i="5"/>
  <c r="J77" i="5"/>
  <c r="I77" i="5"/>
  <c r="E77" i="5"/>
  <c r="D77" i="5"/>
  <c r="J76" i="5"/>
  <c r="I76" i="5"/>
  <c r="E76" i="5"/>
  <c r="D76" i="5"/>
  <c r="J75" i="5"/>
  <c r="I75" i="5"/>
  <c r="E75" i="5"/>
  <c r="D75" i="5"/>
  <c r="J74" i="5"/>
  <c r="I74" i="5"/>
  <c r="E74" i="5"/>
  <c r="D74" i="5"/>
  <c r="J73" i="5"/>
  <c r="I73" i="5"/>
  <c r="E73" i="5"/>
  <c r="D73" i="5"/>
  <c r="J72" i="5"/>
  <c r="I72" i="5"/>
  <c r="E72" i="5"/>
  <c r="D72" i="5"/>
  <c r="J71" i="5"/>
  <c r="I71" i="5"/>
  <c r="E71" i="5"/>
  <c r="D71" i="5"/>
  <c r="J70" i="5"/>
  <c r="I70" i="5"/>
  <c r="E70" i="5"/>
  <c r="D70" i="5"/>
  <c r="J69" i="5"/>
  <c r="I69" i="5"/>
  <c r="E69" i="5"/>
  <c r="D69" i="5"/>
  <c r="J68" i="5"/>
  <c r="I68" i="5"/>
  <c r="E68" i="5"/>
  <c r="D68" i="5"/>
  <c r="J67" i="5"/>
  <c r="I67" i="5"/>
  <c r="E67" i="5"/>
  <c r="D67" i="5"/>
  <c r="J66" i="5"/>
  <c r="I66" i="5"/>
  <c r="E66" i="5"/>
  <c r="D66" i="5"/>
  <c r="J65" i="5"/>
  <c r="I65" i="5"/>
  <c r="E65" i="5"/>
  <c r="D65" i="5"/>
  <c r="J64" i="5"/>
  <c r="I64" i="5"/>
  <c r="E64" i="5"/>
  <c r="D64" i="5"/>
  <c r="J63" i="5"/>
  <c r="I63" i="5"/>
  <c r="E63" i="5"/>
  <c r="D63" i="5"/>
  <c r="J62" i="5"/>
  <c r="I62" i="5"/>
  <c r="E62" i="5"/>
  <c r="D62" i="5"/>
  <c r="J61" i="5"/>
  <c r="I61" i="5"/>
  <c r="E61" i="5"/>
  <c r="D61" i="5"/>
  <c r="J60" i="5"/>
  <c r="I60" i="5"/>
  <c r="E60" i="5"/>
  <c r="D60" i="5"/>
  <c r="J59" i="5"/>
  <c r="I59" i="5"/>
  <c r="E59" i="5"/>
  <c r="D59" i="5"/>
  <c r="J58" i="5"/>
  <c r="I58" i="5"/>
  <c r="E58" i="5"/>
  <c r="D58" i="5"/>
  <c r="J57" i="5"/>
  <c r="I57" i="5"/>
  <c r="E57" i="5"/>
  <c r="D57" i="5"/>
  <c r="J56" i="5"/>
  <c r="I56" i="5"/>
  <c r="E56" i="5"/>
  <c r="D56" i="5"/>
  <c r="J55" i="5"/>
  <c r="I55" i="5"/>
  <c r="E55" i="5"/>
  <c r="D55" i="5"/>
  <c r="J54" i="5"/>
  <c r="I54" i="5"/>
  <c r="E54" i="5"/>
  <c r="D54" i="5"/>
  <c r="J53" i="5"/>
  <c r="I53" i="5"/>
  <c r="E53" i="5"/>
  <c r="D53" i="5"/>
  <c r="J52" i="5"/>
  <c r="I52" i="5"/>
  <c r="E52" i="5"/>
  <c r="D52" i="5"/>
  <c r="J51" i="5"/>
  <c r="I51" i="5"/>
  <c r="E51" i="5"/>
  <c r="D51" i="5"/>
  <c r="J50" i="5"/>
  <c r="I50" i="5"/>
  <c r="E50" i="5"/>
  <c r="D50" i="5"/>
  <c r="J49" i="5"/>
  <c r="I49" i="5"/>
  <c r="E49" i="5"/>
  <c r="D49" i="5"/>
  <c r="J48" i="5"/>
  <c r="I48" i="5"/>
  <c r="E48" i="5"/>
  <c r="D48" i="5"/>
  <c r="J47" i="5"/>
  <c r="I47" i="5"/>
  <c r="E47" i="5"/>
  <c r="D47" i="5"/>
  <c r="J46" i="5"/>
  <c r="I46" i="5"/>
  <c r="E46" i="5"/>
  <c r="D46" i="5"/>
  <c r="J45" i="5"/>
  <c r="I45" i="5"/>
  <c r="E45" i="5"/>
  <c r="D45" i="5"/>
  <c r="J44" i="5"/>
  <c r="I44" i="5"/>
  <c r="E44" i="5"/>
  <c r="D44" i="5"/>
  <c r="J43" i="5"/>
  <c r="I43" i="5"/>
  <c r="E43" i="5"/>
  <c r="D43" i="5"/>
  <c r="J42" i="5"/>
  <c r="I42" i="5"/>
  <c r="E42" i="5"/>
  <c r="D42" i="5"/>
  <c r="J41" i="5"/>
  <c r="I41" i="5"/>
  <c r="E41" i="5"/>
  <c r="D41" i="5"/>
  <c r="J40" i="5"/>
  <c r="I40" i="5"/>
  <c r="E40" i="5"/>
  <c r="D40" i="5"/>
  <c r="J39" i="5"/>
  <c r="I39" i="5"/>
  <c r="E39" i="5"/>
  <c r="D39" i="5"/>
  <c r="J38" i="5"/>
  <c r="I38" i="5"/>
  <c r="E38" i="5"/>
  <c r="D38" i="5"/>
  <c r="J37" i="5"/>
  <c r="I37" i="5"/>
  <c r="E37" i="5"/>
  <c r="D37" i="5"/>
  <c r="J36" i="5"/>
  <c r="I36" i="5"/>
  <c r="E36" i="5"/>
  <c r="D36" i="5"/>
  <c r="J35" i="5"/>
  <c r="I35" i="5"/>
  <c r="E35" i="5"/>
  <c r="D35" i="5"/>
  <c r="J34" i="5"/>
  <c r="I34" i="5"/>
  <c r="E34" i="5"/>
  <c r="D34" i="5"/>
  <c r="J33" i="5"/>
  <c r="I33" i="5"/>
  <c r="E33" i="5"/>
  <c r="D33" i="5"/>
  <c r="J32" i="5"/>
  <c r="I32" i="5"/>
  <c r="E32" i="5"/>
  <c r="D32" i="5"/>
  <c r="J31" i="5"/>
  <c r="I31" i="5"/>
  <c r="E31" i="5"/>
  <c r="D31" i="5"/>
  <c r="J30" i="5"/>
  <c r="I30" i="5"/>
  <c r="E30" i="5"/>
  <c r="D30" i="5"/>
  <c r="J29" i="5"/>
  <c r="I29" i="5"/>
  <c r="E29" i="5"/>
  <c r="D29" i="5"/>
  <c r="J28" i="5"/>
  <c r="I28" i="5"/>
  <c r="E28" i="5"/>
  <c r="D28" i="5"/>
  <c r="J27" i="5"/>
  <c r="I27" i="5"/>
  <c r="E27" i="5"/>
  <c r="D27" i="5"/>
  <c r="J26" i="5"/>
  <c r="I26" i="5"/>
  <c r="E26" i="5"/>
  <c r="D26" i="5"/>
  <c r="J25" i="5"/>
  <c r="I25" i="5"/>
  <c r="E25" i="5"/>
  <c r="D25" i="5"/>
  <c r="J24" i="5"/>
  <c r="I24" i="5"/>
  <c r="E24" i="5"/>
  <c r="D24" i="5"/>
  <c r="J23" i="5"/>
  <c r="I23" i="5"/>
  <c r="E23" i="5"/>
  <c r="D23" i="5"/>
  <c r="J22" i="5"/>
  <c r="I22" i="5"/>
  <c r="E22" i="5"/>
  <c r="D22" i="5"/>
  <c r="J21" i="5"/>
  <c r="I21" i="5"/>
  <c r="E21" i="5"/>
  <c r="D21" i="5"/>
  <c r="J20" i="5"/>
  <c r="I20" i="5"/>
  <c r="E20" i="5"/>
  <c r="D20" i="5"/>
  <c r="J19" i="5"/>
  <c r="I19" i="5"/>
  <c r="E19" i="5"/>
  <c r="D19" i="5"/>
  <c r="J18" i="5"/>
  <c r="I18" i="5"/>
  <c r="E18" i="5"/>
  <c r="D18" i="5"/>
  <c r="J17" i="5"/>
  <c r="I17" i="5"/>
  <c r="E17" i="5"/>
  <c r="D17" i="5"/>
  <c r="J16" i="5"/>
  <c r="I16" i="5"/>
  <c r="E16" i="5"/>
  <c r="D16" i="5"/>
  <c r="J15" i="5"/>
  <c r="I15" i="5"/>
  <c r="E15" i="5"/>
  <c r="D15" i="5"/>
  <c r="J14" i="5"/>
  <c r="I14" i="5"/>
  <c r="E14" i="5"/>
  <c r="D14" i="5"/>
  <c r="J13" i="5"/>
  <c r="I13" i="5"/>
  <c r="E13" i="5"/>
  <c r="D13" i="5"/>
  <c r="J12" i="5"/>
  <c r="I12" i="5"/>
  <c r="E12" i="5"/>
  <c r="D12" i="5"/>
  <c r="J11" i="5"/>
  <c r="I11" i="5"/>
  <c r="E11" i="5"/>
  <c r="D11" i="5"/>
  <c r="J10" i="5"/>
  <c r="I10" i="5"/>
  <c r="E10" i="5"/>
  <c r="D10" i="5"/>
  <c r="J9" i="5"/>
  <c r="I9" i="5"/>
  <c r="E9" i="5"/>
  <c r="D9" i="5"/>
  <c r="J8" i="5"/>
  <c r="I8" i="5"/>
  <c r="E8" i="5"/>
  <c r="D8" i="5"/>
  <c r="J7" i="5"/>
  <c r="I7" i="5"/>
  <c r="E7" i="5"/>
  <c r="D7" i="5"/>
  <c r="J6" i="5"/>
  <c r="I6" i="5"/>
  <c r="E6" i="5"/>
  <c r="D6" i="5"/>
  <c r="J5" i="5"/>
  <c r="I5" i="5"/>
  <c r="E5" i="5"/>
  <c r="D5" i="5"/>
  <c r="J4" i="5"/>
  <c r="I4" i="5"/>
  <c r="E4" i="5"/>
  <c r="D4" i="5"/>
  <c r="J3" i="5"/>
  <c r="I3" i="5"/>
  <c r="E3" i="5"/>
  <c r="D3" i="5"/>
  <c r="J2" i="5"/>
  <c r="I2" i="5"/>
  <c r="E269" i="4"/>
  <c r="D269" i="4"/>
  <c r="C269" i="4"/>
  <c r="E268" i="4"/>
  <c r="D268" i="4"/>
  <c r="C268" i="4"/>
  <c r="E267" i="4"/>
  <c r="D267" i="4"/>
  <c r="C267" i="4"/>
  <c r="E266" i="4"/>
  <c r="D266" i="4"/>
  <c r="C266" i="4"/>
  <c r="E265" i="4"/>
  <c r="D265" i="4"/>
  <c r="C265" i="4"/>
  <c r="E264" i="4"/>
  <c r="D264" i="4"/>
  <c r="C264" i="4"/>
  <c r="E263" i="4"/>
  <c r="D263" i="4"/>
  <c r="C263" i="4"/>
  <c r="E262" i="4"/>
  <c r="D262" i="4"/>
  <c r="C262" i="4"/>
  <c r="E261" i="4"/>
  <c r="D261" i="4"/>
  <c r="C261" i="4"/>
  <c r="E260" i="4"/>
  <c r="D260" i="4"/>
  <c r="C260" i="4"/>
  <c r="E259" i="4"/>
  <c r="D259" i="4"/>
  <c r="C259" i="4"/>
  <c r="E258" i="4"/>
  <c r="D258" i="4"/>
  <c r="C258" i="4"/>
  <c r="E257" i="4"/>
  <c r="D257" i="4"/>
  <c r="C257" i="4"/>
  <c r="E256" i="4"/>
  <c r="D256" i="4"/>
  <c r="C256" i="4"/>
  <c r="E255" i="4"/>
  <c r="D255" i="4"/>
  <c r="C255" i="4"/>
  <c r="E254" i="4"/>
  <c r="D254" i="4"/>
  <c r="C254" i="4"/>
  <c r="E253" i="4"/>
  <c r="D253" i="4"/>
  <c r="C253" i="4"/>
  <c r="E252" i="4"/>
  <c r="D252" i="4"/>
  <c r="C252" i="4"/>
  <c r="E251" i="4"/>
  <c r="D251" i="4"/>
  <c r="C251" i="4"/>
  <c r="E250" i="4"/>
  <c r="D250" i="4"/>
  <c r="C250" i="4"/>
  <c r="E249" i="4"/>
  <c r="D249" i="4"/>
  <c r="C249" i="4"/>
  <c r="E248" i="4"/>
  <c r="D248" i="4"/>
  <c r="C248" i="4"/>
  <c r="E247" i="4"/>
  <c r="D247" i="4"/>
  <c r="C247" i="4"/>
  <c r="E246" i="4"/>
  <c r="D246" i="4"/>
  <c r="C246" i="4"/>
  <c r="E245" i="4"/>
  <c r="D245" i="4"/>
  <c r="C245" i="4"/>
  <c r="E244" i="4"/>
  <c r="D244" i="4"/>
  <c r="C244" i="4"/>
  <c r="E243" i="4"/>
  <c r="D243" i="4"/>
  <c r="C243" i="4"/>
  <c r="E242" i="4"/>
  <c r="D242" i="4"/>
  <c r="C242" i="4"/>
  <c r="E241" i="4"/>
  <c r="D241" i="4"/>
  <c r="C241" i="4"/>
  <c r="E240" i="4"/>
  <c r="D240" i="4"/>
  <c r="C240" i="4"/>
  <c r="E239" i="4"/>
  <c r="D239" i="4"/>
  <c r="C239" i="4"/>
  <c r="E238" i="4"/>
  <c r="D238" i="4"/>
  <c r="C238" i="4"/>
  <c r="E237" i="4"/>
  <c r="D237" i="4"/>
  <c r="C237" i="4"/>
  <c r="E236" i="4"/>
  <c r="D236" i="4"/>
  <c r="C236" i="4"/>
  <c r="E235" i="4"/>
  <c r="D235" i="4"/>
  <c r="C235" i="4"/>
  <c r="E234" i="4"/>
  <c r="D234" i="4"/>
  <c r="C234" i="4"/>
  <c r="E233" i="4"/>
  <c r="D233" i="4"/>
  <c r="C233" i="4"/>
  <c r="E232" i="4"/>
  <c r="D232" i="4"/>
  <c r="C232" i="4"/>
  <c r="E231" i="4"/>
  <c r="D231" i="4"/>
  <c r="C231" i="4"/>
  <c r="E230" i="4"/>
  <c r="D230" i="4"/>
  <c r="C230" i="4"/>
  <c r="E229" i="4"/>
  <c r="D229" i="4"/>
  <c r="C229" i="4"/>
  <c r="E228" i="4"/>
  <c r="D228" i="4"/>
  <c r="C228" i="4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E221" i="4"/>
  <c r="D221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E216" i="4"/>
  <c r="D216" i="4"/>
  <c r="C216" i="4"/>
  <c r="E215" i="4"/>
  <c r="D215" i="4"/>
  <c r="C215" i="4"/>
  <c r="E214" i="4"/>
  <c r="D214" i="4"/>
  <c r="C214" i="4"/>
  <c r="E213" i="4"/>
  <c r="D213" i="4"/>
  <c r="C213" i="4"/>
  <c r="E212" i="4"/>
  <c r="D212" i="4"/>
  <c r="C212" i="4"/>
  <c r="E211" i="4"/>
  <c r="D211" i="4"/>
  <c r="C211" i="4"/>
  <c r="E210" i="4"/>
  <c r="D210" i="4"/>
  <c r="C210" i="4"/>
  <c r="E209" i="4"/>
  <c r="D209" i="4"/>
  <c r="C209" i="4"/>
  <c r="E208" i="4"/>
  <c r="D208" i="4"/>
  <c r="C208" i="4"/>
  <c r="E207" i="4"/>
  <c r="D207" i="4"/>
  <c r="C207" i="4"/>
  <c r="E206" i="4"/>
  <c r="D206" i="4"/>
  <c r="C206" i="4"/>
  <c r="E205" i="4"/>
  <c r="D205" i="4"/>
  <c r="C205" i="4"/>
  <c r="E204" i="4"/>
  <c r="D204" i="4"/>
  <c r="C204" i="4"/>
  <c r="E203" i="4"/>
  <c r="D203" i="4"/>
  <c r="C203" i="4"/>
  <c r="E202" i="4"/>
  <c r="D202" i="4"/>
  <c r="C202" i="4"/>
  <c r="E201" i="4"/>
  <c r="D201" i="4"/>
  <c r="C201" i="4"/>
  <c r="E200" i="4"/>
  <c r="D200" i="4"/>
  <c r="C200" i="4"/>
  <c r="E199" i="4"/>
  <c r="D199" i="4"/>
  <c r="C199" i="4"/>
  <c r="E198" i="4"/>
  <c r="D198" i="4"/>
  <c r="C198" i="4"/>
  <c r="E197" i="4"/>
  <c r="D197" i="4"/>
  <c r="C197" i="4"/>
  <c r="E196" i="4"/>
  <c r="D196" i="4"/>
  <c r="C196" i="4"/>
  <c r="E195" i="4"/>
  <c r="D195" i="4"/>
  <c r="C195" i="4"/>
  <c r="E194" i="4"/>
  <c r="D194" i="4"/>
  <c r="C194" i="4"/>
  <c r="E193" i="4"/>
  <c r="D193" i="4"/>
  <c r="C193" i="4"/>
  <c r="E192" i="4"/>
  <c r="D192" i="4"/>
  <c r="C192" i="4"/>
  <c r="E191" i="4"/>
  <c r="D191" i="4"/>
  <c r="C191" i="4"/>
  <c r="E190" i="4"/>
  <c r="D190" i="4"/>
  <c r="C190" i="4"/>
  <c r="E189" i="4"/>
  <c r="D189" i="4"/>
  <c r="C189" i="4"/>
  <c r="E188" i="4"/>
  <c r="D188" i="4"/>
  <c r="C188" i="4"/>
  <c r="E187" i="4"/>
  <c r="D187" i="4"/>
  <c r="C187" i="4"/>
  <c r="E186" i="4"/>
  <c r="D186" i="4"/>
  <c r="C186" i="4"/>
  <c r="E185" i="4"/>
  <c r="D185" i="4"/>
  <c r="C185" i="4"/>
  <c r="E184" i="4"/>
  <c r="D184" i="4"/>
  <c r="C184" i="4"/>
  <c r="E183" i="4"/>
  <c r="D183" i="4"/>
  <c r="C183" i="4"/>
  <c r="E182" i="4"/>
  <c r="D182" i="4"/>
  <c r="C182" i="4"/>
  <c r="E181" i="4"/>
  <c r="D181" i="4"/>
  <c r="C181" i="4"/>
  <c r="E180" i="4"/>
  <c r="D180" i="4"/>
  <c r="C180" i="4"/>
  <c r="E179" i="4"/>
  <c r="D179" i="4"/>
  <c r="C179" i="4"/>
  <c r="E178" i="4"/>
  <c r="D178" i="4"/>
  <c r="C178" i="4"/>
  <c r="E177" i="4"/>
  <c r="D177" i="4"/>
  <c r="C177" i="4"/>
  <c r="E176" i="4"/>
  <c r="D176" i="4"/>
  <c r="C176" i="4"/>
  <c r="E175" i="4"/>
  <c r="D175" i="4"/>
  <c r="C175" i="4"/>
  <c r="E174" i="4"/>
  <c r="D174" i="4"/>
  <c r="C174" i="4"/>
  <c r="E173" i="4"/>
  <c r="D173" i="4"/>
  <c r="C173" i="4"/>
  <c r="E172" i="4"/>
  <c r="D172" i="4"/>
  <c r="C172" i="4"/>
  <c r="E171" i="4"/>
  <c r="D171" i="4"/>
  <c r="C171" i="4"/>
  <c r="E170" i="4"/>
  <c r="D170" i="4"/>
  <c r="C170" i="4"/>
  <c r="E169" i="4"/>
  <c r="D169" i="4"/>
  <c r="C169" i="4"/>
  <c r="E168" i="4"/>
  <c r="D168" i="4"/>
  <c r="C168" i="4"/>
  <c r="E167" i="4"/>
  <c r="D167" i="4"/>
  <c r="C167" i="4"/>
  <c r="E166" i="4"/>
  <c r="D166" i="4"/>
  <c r="C166" i="4"/>
  <c r="E165" i="4"/>
  <c r="D165" i="4"/>
  <c r="C165" i="4"/>
  <c r="E164" i="4"/>
  <c r="D164" i="4"/>
  <c r="C164" i="4"/>
  <c r="E163" i="4"/>
  <c r="D163" i="4"/>
  <c r="C163" i="4"/>
  <c r="E162" i="4"/>
  <c r="D162" i="4"/>
  <c r="C162" i="4"/>
  <c r="E161" i="4"/>
  <c r="D161" i="4"/>
  <c r="C161" i="4"/>
  <c r="E160" i="4"/>
  <c r="D160" i="4"/>
  <c r="C160" i="4"/>
  <c r="E159" i="4"/>
  <c r="D159" i="4"/>
  <c r="C159" i="4"/>
  <c r="E158" i="4"/>
  <c r="D158" i="4"/>
  <c r="C158" i="4"/>
  <c r="E157" i="4"/>
  <c r="D157" i="4"/>
  <c r="C157" i="4"/>
  <c r="E156" i="4"/>
  <c r="D156" i="4"/>
  <c r="C156" i="4"/>
  <c r="E155" i="4"/>
  <c r="D155" i="4"/>
  <c r="C155" i="4"/>
  <c r="E154" i="4"/>
  <c r="D154" i="4"/>
  <c r="C154" i="4"/>
  <c r="E153" i="4"/>
  <c r="D153" i="4"/>
  <c r="C153" i="4"/>
  <c r="E152" i="4"/>
  <c r="D152" i="4"/>
  <c r="C152" i="4"/>
  <c r="E151" i="4"/>
  <c r="D151" i="4"/>
  <c r="C151" i="4"/>
  <c r="E150" i="4"/>
  <c r="D150" i="4"/>
  <c r="C150" i="4"/>
  <c r="E149" i="4"/>
  <c r="D149" i="4"/>
  <c r="C149" i="4"/>
  <c r="E148" i="4"/>
  <c r="D148" i="4"/>
  <c r="C148" i="4"/>
  <c r="E147" i="4"/>
  <c r="D147" i="4"/>
  <c r="C147" i="4"/>
  <c r="E146" i="4"/>
  <c r="D146" i="4"/>
  <c r="C146" i="4"/>
  <c r="E145" i="4"/>
  <c r="D145" i="4"/>
  <c r="C145" i="4"/>
  <c r="E144" i="4"/>
  <c r="D144" i="4"/>
  <c r="C144" i="4"/>
  <c r="E143" i="4"/>
  <c r="D143" i="4"/>
  <c r="C143" i="4"/>
  <c r="E142" i="4"/>
  <c r="D142" i="4"/>
  <c r="C142" i="4"/>
  <c r="E141" i="4"/>
  <c r="D141" i="4"/>
  <c r="C141" i="4"/>
  <c r="E140" i="4"/>
  <c r="D140" i="4"/>
  <c r="C140" i="4"/>
  <c r="E139" i="4"/>
  <c r="D139" i="4"/>
  <c r="C139" i="4"/>
  <c r="E138" i="4"/>
  <c r="D138" i="4"/>
  <c r="C138" i="4"/>
  <c r="E137" i="4"/>
  <c r="D137" i="4"/>
  <c r="C137" i="4"/>
  <c r="E136" i="4"/>
  <c r="D136" i="4"/>
  <c r="C136" i="4"/>
  <c r="E135" i="4"/>
  <c r="D135" i="4"/>
  <c r="C135" i="4"/>
  <c r="E134" i="4"/>
  <c r="D134" i="4"/>
  <c r="C134" i="4"/>
  <c r="E133" i="4"/>
  <c r="D133" i="4"/>
  <c r="C133" i="4"/>
  <c r="E132" i="4"/>
  <c r="D132" i="4"/>
  <c r="C132" i="4"/>
  <c r="E131" i="4"/>
  <c r="D131" i="4"/>
  <c r="C131" i="4"/>
  <c r="E130" i="4"/>
  <c r="D130" i="4"/>
  <c r="C130" i="4"/>
  <c r="E129" i="4"/>
  <c r="D129" i="4"/>
  <c r="C129" i="4"/>
  <c r="E128" i="4"/>
  <c r="D128" i="4"/>
  <c r="C128" i="4"/>
  <c r="E127" i="4"/>
  <c r="D127" i="4"/>
  <c r="C127" i="4"/>
  <c r="E126" i="4"/>
  <c r="D126" i="4"/>
  <c r="C126" i="4"/>
  <c r="E125" i="4"/>
  <c r="D125" i="4"/>
  <c r="C125" i="4"/>
  <c r="E124" i="4"/>
  <c r="D124" i="4"/>
  <c r="C124" i="4"/>
  <c r="E123" i="4"/>
  <c r="D123" i="4"/>
  <c r="C123" i="4"/>
  <c r="E122" i="4"/>
  <c r="D122" i="4"/>
  <c r="C122" i="4"/>
  <c r="E121" i="4"/>
  <c r="D121" i="4"/>
  <c r="C121" i="4"/>
  <c r="E120" i="4"/>
  <c r="D120" i="4"/>
  <c r="C120" i="4"/>
  <c r="E119" i="4"/>
  <c r="D119" i="4"/>
  <c r="C119" i="4"/>
  <c r="E118" i="4"/>
  <c r="D118" i="4"/>
  <c r="C118" i="4"/>
  <c r="E117" i="4"/>
  <c r="D117" i="4"/>
  <c r="C117" i="4"/>
  <c r="E116" i="4"/>
  <c r="D116" i="4"/>
  <c r="C116" i="4"/>
  <c r="E115" i="4"/>
  <c r="D115" i="4"/>
  <c r="C115" i="4"/>
  <c r="E114" i="4"/>
  <c r="D114" i="4"/>
  <c r="C114" i="4"/>
  <c r="E113" i="4"/>
  <c r="D113" i="4"/>
  <c r="C113" i="4"/>
  <c r="E112" i="4"/>
  <c r="D112" i="4"/>
  <c r="C112" i="4"/>
  <c r="E111" i="4"/>
  <c r="D111" i="4"/>
  <c r="C111" i="4"/>
  <c r="E110" i="4"/>
  <c r="D110" i="4"/>
  <c r="C110" i="4"/>
  <c r="E109" i="4"/>
  <c r="D109" i="4"/>
  <c r="C109" i="4"/>
  <c r="E108" i="4"/>
  <c r="D108" i="4"/>
  <c r="C108" i="4"/>
  <c r="E107" i="4"/>
  <c r="D107" i="4"/>
  <c r="C107" i="4"/>
  <c r="E106" i="4"/>
  <c r="D106" i="4"/>
  <c r="C106" i="4"/>
  <c r="E105" i="4"/>
  <c r="D105" i="4"/>
  <c r="C105" i="4"/>
  <c r="E104" i="4"/>
  <c r="D104" i="4"/>
  <c r="C104" i="4"/>
  <c r="E103" i="4"/>
  <c r="D103" i="4"/>
  <c r="C103" i="4"/>
  <c r="E102" i="4"/>
  <c r="D102" i="4"/>
  <c r="C102" i="4"/>
  <c r="E101" i="4"/>
  <c r="D101" i="4"/>
  <c r="C101" i="4"/>
  <c r="E100" i="4"/>
  <c r="D100" i="4"/>
  <c r="C100" i="4"/>
  <c r="E99" i="4"/>
  <c r="D99" i="4"/>
  <c r="C99" i="4"/>
  <c r="E98" i="4"/>
  <c r="D98" i="4"/>
  <c r="C98" i="4"/>
  <c r="E97" i="4"/>
  <c r="D97" i="4"/>
  <c r="C97" i="4"/>
  <c r="E96" i="4"/>
  <c r="D96" i="4"/>
  <c r="C96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90" i="4"/>
  <c r="D90" i="4"/>
  <c r="C90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E2" i="4"/>
  <c r="D2" i="4"/>
  <c r="C2" i="4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For diacritics count 0, double check with updf for diacritics.
https://en.wiktionary.org/w/index.php?title=Category:Tagalog_1-syllable_words&amp;pagefrom=HAY%0Ahay#mw-pages
Issue with sampling: 0 diacritics words were usually the english entries in UPDF.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 xml:space="preserve">redup_type
</t>
        </r>
      </text>
    </comment>
    <comment ref="D1" authorId="0" shapeId="0" xr:uid="{00000000-0006-0000-0800-000002000000}">
      <text>
        <r>
          <rPr>
            <sz val="10"/>
            <color rgb="FF000000"/>
            <rFont val="Arial"/>
            <family val="2"/>
            <scheme val="minor"/>
          </rPr>
          <t>subtype</t>
        </r>
      </text>
    </comment>
  </commentList>
</comments>
</file>

<file path=xl/sharedStrings.xml><?xml version="1.0" encoding="utf-8"?>
<sst xmlns="http://schemas.openxmlformats.org/spreadsheetml/2006/main" count="12839" uniqueCount="3398">
  <si>
    <t>TASKS</t>
  </si>
  <si>
    <t>gen</t>
  </si>
  <si>
    <t>mcq</t>
  </si>
  <si>
    <t>Progress</t>
  </si>
  <si>
    <t>Concern</t>
  </si>
  <si>
    <t>Composition</t>
  </si>
  <si>
    <t>Diacritics (33% 2 diacritic, 33% 1, 33% 0)</t>
  </si>
  <si>
    <t>replace composition_gen &gt; "diacritic"
ok -- prompt ready</t>
  </si>
  <si>
    <r>
      <t xml:space="preserve">use old dataset -- QCed: </t>
    </r>
    <r>
      <rPr>
        <u/>
        <sz val="10"/>
        <color rgb="FF1155CC"/>
        <rFont val="Arial"/>
        <family val="2"/>
      </rPr>
      <t>https://github.com/raileymontalan/pacute-bench/blob/main/data/benchmarks/composition_mcq.jsonl</t>
    </r>
  </si>
  <si>
    <t>ok</t>
  </si>
  <si>
    <t>Uppercasing (33% &gt;=2 uppercase, 33% 1, 33% 0)</t>
  </si>
  <si>
    <t>replace composition_gen &gt; "uppercase"
ok -- prompt ready</t>
  </si>
  <si>
    <t>"prompts":[{"text_en":"Which option contains exactly 1 \"K\" character\/s?","text_tl":"Alin sa sumusunod ang naglalaman ng eksaktong 1 titik na \"K\"?","mcq_options":{"correct":"Katipúnan","incorrect1":"katipúnan","incorrect2":"Kalát","incorrect3":"Kambíng"},"choice1":"katipúnan","choice2":"Kambíng","choice3":"Kalát","choice4":"Katipúnan"}]</t>
  </si>
  <si>
    <t>Character Counting</t>
  </si>
  <si>
    <t>replace composition_gen &gt; "character_counting"</t>
  </si>
  <si>
    <t>Character Recognition</t>
  </si>
  <si>
    <t>replace composition_gen &gt; "character_recognition"</t>
  </si>
  <si>
    <t>Morphological Extraction</t>
  </si>
  <si>
    <t>Inflected affix extraction (namula -&gt; na)</t>
  </si>
  <si>
    <t>will replace affixation_gen &gt; "affix_identification"</t>
  </si>
  <si>
    <t>TODO: correct, automate two, add one distractor</t>
  </si>
  <si>
    <t>Inflected root extraction (namula -&gt; pula)</t>
  </si>
  <si>
    <t>new</t>
  </si>
  <si>
    <t>affix extraction dataset can double for root extraction</t>
  </si>
  <si>
    <t>should this be a different dataset?</t>
  </si>
  <si>
    <t>Reduplicated root extraction: 50% partial, 50% full (pupunta -&gt; punta)</t>
  </si>
  <si>
    <t>adjusted split to have more partial. it is more challenging to extract partial because of morpophonemic changes</t>
  </si>
  <si>
    <t>Reduplicant extraction: 100% partial (pupunta -&gt; pu)</t>
  </si>
  <si>
    <t>remove syllabification_gen &gt; "reduplication_identification"
to replace with this new task under morphological_extraction</t>
  </si>
  <si>
    <t>remove syllabification_mcq &gt; "reduplication_detection"
to replace with this new task under morphologial_extraction
Example prompt format -- "prompts": [{"text_en": "Which word has CV-reduplication (first consonant-vowel repeated)?", "text_tl": "Alin ang may uulit-pantig (inuulit ang unang katinig-patinig)?", "mcq_options": {"correct": "dibdib", "incorrect1": "nawa", "incorrect2": "tubog", "incorrect3": "banal"}}], "label": null, "id": "syllabification_mcq_00256"}</t>
  </si>
  <si>
    <t>Morphological Production</t>
  </si>
  <si>
    <t>Inflected form production (pula + na- -&gt; namula)</t>
  </si>
  <si>
    <t>review Lance's gen &gt; production (production_gen_00000 --&gt; production_gen_00249)</t>
  </si>
  <si>
    <t>lapi -&gt; panlapi</t>
  </si>
  <si>
    <t>Reduplicated form production (punta + future aspect -&gt; pupunta)</t>
  </si>
  <si>
    <t>review Lance's gen &gt; production (production_gen_00250 --&gt; production_gen_00299)</t>
  </si>
  <si>
    <t>INFO</t>
  </si>
  <si>
    <t>Morphological Extraction (Inflection Tasks)</t>
  </si>
  <si>
    <t>Currently: 40 infix, suffix, prefix; 20 circumfix</t>
  </si>
  <si>
    <t>Reasonable goal: 40 infix, suffix, prefix; 20 circumfix with assimilation, phoneme change, metatesis, phoneme deletion</t>
  </si>
  <si>
    <t>Source: Makabagong Balarilang Filipino (Santiago &amp; Tiangco, 2003)</t>
  </si>
  <si>
    <t>Mga Pagbabagong Morpoponemiko</t>
  </si>
  <si>
    <t>ID</t>
  </si>
  <si>
    <t>Transformation</t>
  </si>
  <si>
    <t>Description</t>
  </si>
  <si>
    <t>Applicability</t>
  </si>
  <si>
    <t>Illustration</t>
  </si>
  <si>
    <t>Count</t>
  </si>
  <si>
    <t>Affixes</t>
  </si>
  <si>
    <t>Affixes 2</t>
  </si>
  <si>
    <t>Asimilasyon</t>
  </si>
  <si>
    <t>Nagbabago ang ponemang /ng/ at nagiging /m/, /n/, o nananatiling /ng/</t>
  </si>
  <si>
    <t>prefix</t>
  </si>
  <si>
    <t>Asimilasyong Di-Ganap (Partial Assimilation)</t>
  </si>
  <si>
    <t>Asimilasyon kung saan hindi nagbabago ang nilalapiang salita.</t>
  </si>
  <si>
    <t>pang + paaralan = pampaaralan</t>
  </si>
  <si>
    <t>10 prefix</t>
  </si>
  <si>
    <t>hing-, ikang-, ikapakapang-, ikapang-, ipagkang-, ipang-, kasing-, magkang-, mang-, mapang-, nang-, pang-, sang-</t>
  </si>
  <si>
    <t>/</t>
  </si>
  <si>
    <t>Asimilasyong Ganap</t>
  </si>
  <si>
    <t>Asimilasyon kung saan nawawala ang unang ponema ng nilalapiang salita.</t>
  </si>
  <si>
    <t>pang + palo = pampalo =&gt; pamalo</t>
  </si>
  <si>
    <t>hing-, ikang-, ikapakapang-, ikapang-, ipagkang-, ipang-, kasing-, magkang-, mang-, mapang-, pang-, sang-</t>
  </si>
  <si>
    <t>Pagpapalit ng Ponema</t>
  </si>
  <si>
    <t>Napapalitan ang ponema dahil sa pagbabago ng salita (hal., paglalapi)</t>
  </si>
  <si>
    <t>prefix, suffix</t>
  </si>
  <si>
    <t>ma + dapat = marapat
tawa + han = tawanan</t>
  </si>
  <si>
    <t>10 prefix, 20 suffix</t>
  </si>
  <si>
    <t>ikapa-, ikapagka-, ikapagpaka-, ikapakipa-, ka-, kaka-, ma-, mana-, mangagpa-, mangagsipagpa-, mapa-, mapaka-, mapasa-, maga-, na-, nagka-, nagpa-, nagpaka-, nagsa-, nakapagpa-, nakapagpaka-, napaka-, napasa-, pagka-, pagpapa-, pagpapaka-, pagsasa-, pampa-, pasa-, pasasa-, pina-, pinaka-, sa-</t>
  </si>
  <si>
    <t>Metatesis</t>
  </si>
  <si>
    <t>Kapag ang salitang-ugat na nagsisimula sa /l/ o /y/ ay ginitlapian ng [-in-], nagpapalit ng posisyon ang /l/ o /y/ at ang /n/ ng gitlapi</t>
  </si>
  <si>
    <t>infix</t>
  </si>
  <si>
    <t>in + lipad = nilipad</t>
  </si>
  <si>
    <t>30 infix</t>
  </si>
  <si>
    <t>Pagkakaltas ng Ponema</t>
  </si>
  <si>
    <t>Nawawala ng ponemang patinig ng huling pantig ng salitang nilalapian pag nilagyan ng hulapi.</t>
  </si>
  <si>
    <t>suffix</t>
  </si>
  <si>
    <t>takip + an = takpan</t>
  </si>
  <si>
    <t>10 suffix</t>
  </si>
  <si>
    <t>Reduplication Reference</t>
  </si>
  <si>
    <t>https://soologua.wordpress.com/wp-content/uploads/2016/03/reduplication-in-tagalog-verbs.pdf</t>
  </si>
  <si>
    <t>https://www.jstor.org/stable/288967?seq=4</t>
  </si>
  <si>
    <t>https://www.urp.udel.edu/wp-content/uploads/2017/08/Tagalog-Phonology.pdf</t>
  </si>
  <si>
    <t>word</t>
  </si>
  <si>
    <t>root_word</t>
  </si>
  <si>
    <t>affix</t>
  </si>
  <si>
    <t>affix_alternate</t>
  </si>
  <si>
    <t>affix_type</t>
  </si>
  <si>
    <t>subtype</t>
  </si>
  <si>
    <t>production_ready</t>
  </si>
  <si>
    <t>mambola</t>
  </si>
  <si>
    <t>bola</t>
  </si>
  <si>
    <t>mang-</t>
  </si>
  <si>
    <t>partial assimilation (prefix)</t>
  </si>
  <si>
    <t>mandaya</t>
  </si>
  <si>
    <t>daya</t>
  </si>
  <si>
    <t>mapanlamang</t>
  </si>
  <si>
    <t>lamang</t>
  </si>
  <si>
    <t>mapang-</t>
  </si>
  <si>
    <t>pambansa</t>
  </si>
  <si>
    <t>bansa</t>
  </si>
  <si>
    <t>pang-</t>
  </si>
  <si>
    <t>pampito</t>
  </si>
  <si>
    <t>pito</t>
  </si>
  <si>
    <t>nanlaban</t>
  </si>
  <si>
    <t>laban</t>
  </si>
  <si>
    <t>nang-</t>
  </si>
  <si>
    <t>ipampinta</t>
  </si>
  <si>
    <t>pinta</t>
  </si>
  <si>
    <t>ipantapal</t>
  </si>
  <si>
    <t>tapal</t>
  </si>
  <si>
    <t>ipang-</t>
  </si>
  <si>
    <t>simbait</t>
  </si>
  <si>
    <t>bait</t>
  </si>
  <si>
    <t>sing-</t>
  </si>
  <si>
    <t>sintibay</t>
  </si>
  <si>
    <t>tibay</t>
  </si>
  <si>
    <t>panguha</t>
  </si>
  <si>
    <t>kuha</t>
  </si>
  <si>
    <t>full assimilation (prefix)</t>
  </si>
  <si>
    <t>panabas</t>
  </si>
  <si>
    <t>tabas</t>
  </si>
  <si>
    <t>pamatay</t>
  </si>
  <si>
    <t>patay</t>
  </si>
  <si>
    <t>manahi</t>
  </si>
  <si>
    <t>tahi</t>
  </si>
  <si>
    <t>maniko</t>
  </si>
  <si>
    <t>siko</t>
  </si>
  <si>
    <t>mamuksa</t>
  </si>
  <si>
    <t>puksa</t>
  </si>
  <si>
    <t>nanampal</t>
  </si>
  <si>
    <t>sampal</t>
  </si>
  <si>
    <t>namigay</t>
  </si>
  <si>
    <t>bigay</t>
  </si>
  <si>
    <t>namalo</t>
  </si>
  <si>
    <t>palo</t>
  </si>
  <si>
    <t>mapanakit</t>
  </si>
  <si>
    <t>sakit</t>
  </si>
  <si>
    <t>marapat</t>
  </si>
  <si>
    <t>dapat</t>
  </si>
  <si>
    <t>ma-</t>
  </si>
  <si>
    <t>phoneme change (prefix)</t>
  </si>
  <si>
    <t>marunong</t>
  </si>
  <si>
    <t>dunong</t>
  </si>
  <si>
    <t>marangal</t>
  </si>
  <si>
    <t>dangal</t>
  </si>
  <si>
    <t>maringal</t>
  </si>
  <si>
    <t>dingal</t>
  </si>
  <si>
    <t>makaraos</t>
  </si>
  <si>
    <t>daos</t>
  </si>
  <si>
    <t>maka-</t>
  </si>
  <si>
    <t>mamasyal</t>
  </si>
  <si>
    <t>pasyal</t>
  </si>
  <si>
    <t>namula</t>
  </si>
  <si>
    <t>pula</t>
  </si>
  <si>
    <t>na-</t>
  </si>
  <si>
    <t>namutla</t>
  </si>
  <si>
    <t>putla</t>
  </si>
  <si>
    <t>namayat</t>
  </si>
  <si>
    <t>payat</t>
  </si>
  <si>
    <t>manaon</t>
  </si>
  <si>
    <t>taon</t>
  </si>
  <si>
    <t>uminom</t>
  </si>
  <si>
    <t>inom</t>
  </si>
  <si>
    <t>um-</t>
  </si>
  <si>
    <t>regular inflection</t>
  </si>
  <si>
    <t>yes</t>
  </si>
  <si>
    <t>mag-aral</t>
  </si>
  <si>
    <t>aral</t>
  </si>
  <si>
    <t>mag-</t>
  </si>
  <si>
    <t>nagbasketbol</t>
  </si>
  <si>
    <t>basketbol</t>
  </si>
  <si>
    <t>nag-</t>
  </si>
  <si>
    <t>malingat</t>
  </si>
  <si>
    <t>lingat</t>
  </si>
  <si>
    <t>inayos</t>
  </si>
  <si>
    <t>ayos</t>
  </si>
  <si>
    <t>in-</t>
  </si>
  <si>
    <t>ipaghanda</t>
  </si>
  <si>
    <t>handa</t>
  </si>
  <si>
    <t>ipag-</t>
  </si>
  <si>
    <t>ikabahala</t>
  </si>
  <si>
    <t>bahala</t>
  </si>
  <si>
    <t>ika-</t>
  </si>
  <si>
    <t>nakalimot</t>
  </si>
  <si>
    <t>kalimot</t>
  </si>
  <si>
    <t>makiligo</t>
  </si>
  <si>
    <t>ligo</t>
  </si>
  <si>
    <t>maki-</t>
  </si>
  <si>
    <t>nakikanta</t>
  </si>
  <si>
    <t>kanta</t>
  </si>
  <si>
    <t>naki-</t>
  </si>
  <si>
    <t>makabili</t>
  </si>
  <si>
    <t>bili</t>
  </si>
  <si>
    <t>nakasagot</t>
  </si>
  <si>
    <t>sagot</t>
  </si>
  <si>
    <t>naka-</t>
  </si>
  <si>
    <t>makapagluto</t>
  </si>
  <si>
    <t>luto</t>
  </si>
  <si>
    <t>makapag-</t>
  </si>
  <si>
    <t>nakapaghugas</t>
  </si>
  <si>
    <t>hugas</t>
  </si>
  <si>
    <t>nakapag-</t>
  </si>
  <si>
    <t>magpalibre</t>
  </si>
  <si>
    <t>libre</t>
  </si>
  <si>
    <t>magpa-</t>
  </si>
  <si>
    <t>ipalagay</t>
  </si>
  <si>
    <t>lagay</t>
  </si>
  <si>
    <t>ipa-</t>
  </si>
  <si>
    <t>ipagpalinis</t>
  </si>
  <si>
    <t>linis</t>
  </si>
  <si>
    <t>ipagpa-</t>
  </si>
  <si>
    <t>magkaanak</t>
  </si>
  <si>
    <t>anak</t>
  </si>
  <si>
    <t>magka-</t>
  </si>
  <si>
    <t>magpakatanga</t>
  </si>
  <si>
    <t>tanga</t>
  </si>
  <si>
    <t>magpaka-</t>
  </si>
  <si>
    <t>napatawa</t>
  </si>
  <si>
    <t>tawa</t>
  </si>
  <si>
    <t>napa-</t>
  </si>
  <si>
    <t>tawaran</t>
  </si>
  <si>
    <t>tawad</t>
  </si>
  <si>
    <t>-an</t>
  </si>
  <si>
    <t>phoneme change (suffix)</t>
  </si>
  <si>
    <t>laparan</t>
  </si>
  <si>
    <t>lapad</t>
  </si>
  <si>
    <t>tawirin</t>
  </si>
  <si>
    <t>tawid</t>
  </si>
  <si>
    <t>-in</t>
  </si>
  <si>
    <t>liparin</t>
  </si>
  <si>
    <t>lipad</t>
  </si>
  <si>
    <t>hangarin</t>
  </si>
  <si>
    <t>hangad</t>
  </si>
  <si>
    <t>palarin</t>
  </si>
  <si>
    <t>palad</t>
  </si>
  <si>
    <t>pusuan</t>
  </si>
  <si>
    <t>puso</t>
  </si>
  <si>
    <t>bulungan</t>
  </si>
  <si>
    <t>bulong</t>
  </si>
  <si>
    <t>busugin</t>
  </si>
  <si>
    <t>busog</t>
  </si>
  <si>
    <t>tukuyin</t>
  </si>
  <si>
    <t>tukoy</t>
  </si>
  <si>
    <t>tubusin</t>
  </si>
  <si>
    <t>tubos</t>
  </si>
  <si>
    <t>putukan</t>
  </si>
  <si>
    <t>putok</t>
  </si>
  <si>
    <t>sabugan</t>
  </si>
  <si>
    <t>sabog</t>
  </si>
  <si>
    <t>batuhin</t>
  </si>
  <si>
    <t>bato</t>
  </si>
  <si>
    <t>-hin</t>
  </si>
  <si>
    <t>sikuhin</t>
  </si>
  <si>
    <t>puruhan</t>
  </si>
  <si>
    <t>puro</t>
  </si>
  <si>
    <t>-han</t>
  </si>
  <si>
    <t>baguhin</t>
  </si>
  <si>
    <t>bago</t>
  </si>
  <si>
    <t>uluhan</t>
  </si>
  <si>
    <t>ulo</t>
  </si>
  <si>
    <t>guluhin</t>
  </si>
  <si>
    <t>gulo</t>
  </si>
  <si>
    <t>tawanan</t>
  </si>
  <si>
    <t>takpan</t>
  </si>
  <si>
    <t>takip</t>
  </si>
  <si>
    <t>phoneme deletion (suffix)</t>
  </si>
  <si>
    <t>saktan</t>
  </si>
  <si>
    <t>buksan</t>
  </si>
  <si>
    <t>bukas</t>
  </si>
  <si>
    <t>sundin</t>
  </si>
  <si>
    <t>sunod</t>
  </si>
  <si>
    <t>tupdin</t>
  </si>
  <si>
    <t>tupad</t>
  </si>
  <si>
    <t>bigyan</t>
  </si>
  <si>
    <t>dinggin</t>
  </si>
  <si>
    <t>dinig</t>
  </si>
  <si>
    <t>lagyan</t>
  </si>
  <si>
    <t>tikman</t>
  </si>
  <si>
    <t>tikim</t>
  </si>
  <si>
    <t>bilhin</t>
  </si>
  <si>
    <t>takasan</t>
  </si>
  <si>
    <t>takas</t>
  </si>
  <si>
    <t>labanan</t>
  </si>
  <si>
    <t>sulatan</t>
  </si>
  <si>
    <t>sulat</t>
  </si>
  <si>
    <t>titigan</t>
  </si>
  <si>
    <t>titig</t>
  </si>
  <si>
    <t>awitan</t>
  </si>
  <si>
    <t>awit</t>
  </si>
  <si>
    <t>asahan</t>
  </si>
  <si>
    <t>asa</t>
  </si>
  <si>
    <t>abonohan</t>
  </si>
  <si>
    <t>abono</t>
  </si>
  <si>
    <t>suportahan</t>
  </si>
  <si>
    <t>suporta</t>
  </si>
  <si>
    <t>agahan</t>
  </si>
  <si>
    <t>aga</t>
  </si>
  <si>
    <t>gandahan</t>
  </si>
  <si>
    <t>ganda</t>
  </si>
  <si>
    <t>alisin</t>
  </si>
  <si>
    <t>alis</t>
  </si>
  <si>
    <t>walisin</t>
  </si>
  <si>
    <t>walis</t>
  </si>
  <si>
    <t>galawin</t>
  </si>
  <si>
    <t>galaw</t>
  </si>
  <si>
    <t>langgamin</t>
  </si>
  <si>
    <t>langgam</t>
  </si>
  <si>
    <t>buhayin</t>
  </si>
  <si>
    <t>buhay</t>
  </si>
  <si>
    <t>sisihin</t>
  </si>
  <si>
    <t>sisi</t>
  </si>
  <si>
    <t>sabihin</t>
  </si>
  <si>
    <t>sabi</t>
  </si>
  <si>
    <t>punahin</t>
  </si>
  <si>
    <t>puna</t>
  </si>
  <si>
    <t>tablahin</t>
  </si>
  <si>
    <t>tabla</t>
  </si>
  <si>
    <t>unahin</t>
  </si>
  <si>
    <t>una</t>
  </si>
  <si>
    <t>nilipad</t>
  </si>
  <si>
    <t>-in-</t>
  </si>
  <si>
    <t>metathesis (infix)</t>
  </si>
  <si>
    <t>nilangaw</t>
  </si>
  <si>
    <t>langaw</t>
  </si>
  <si>
    <t>nilibot</t>
  </si>
  <si>
    <t>libot</t>
  </si>
  <si>
    <t>nilisan</t>
  </si>
  <si>
    <t>lisan</t>
  </si>
  <si>
    <t>nilito</t>
  </si>
  <si>
    <t>lito</t>
  </si>
  <si>
    <t>nilagay</t>
  </si>
  <si>
    <t>nilason</t>
  </si>
  <si>
    <t>lason</t>
  </si>
  <si>
    <t>niluklok</t>
  </si>
  <si>
    <t>luklok</t>
  </si>
  <si>
    <t>niloko</t>
  </si>
  <si>
    <t>loko</t>
  </si>
  <si>
    <t>nilagari</t>
  </si>
  <si>
    <t>lagari</t>
  </si>
  <si>
    <t>nilatigo</t>
  </si>
  <si>
    <t>latigo</t>
  </si>
  <si>
    <t>nilaban</t>
  </si>
  <si>
    <t>niligpit</t>
  </si>
  <si>
    <t>ligpit</t>
  </si>
  <si>
    <t>nilampaso</t>
  </si>
  <si>
    <t>lampaso</t>
  </si>
  <si>
    <t>niliko</t>
  </si>
  <si>
    <t>liko</t>
  </si>
  <si>
    <t>nilambat</t>
  </si>
  <si>
    <t>lambat</t>
  </si>
  <si>
    <t>niluto</t>
  </si>
  <si>
    <t>nilapat</t>
  </si>
  <si>
    <t>lapat</t>
  </si>
  <si>
    <t>niligaw</t>
  </si>
  <si>
    <t>ligaw</t>
  </si>
  <si>
    <t>nilubos</t>
  </si>
  <si>
    <t>lubos</t>
  </si>
  <si>
    <t>nilipat</t>
  </si>
  <si>
    <t>lipat</t>
  </si>
  <si>
    <t>nilusong</t>
  </si>
  <si>
    <t>lusong</t>
  </si>
  <si>
    <t>nilipon</t>
  </si>
  <si>
    <t>lipon</t>
  </si>
  <si>
    <t>niyanig</t>
  </si>
  <si>
    <t>yanig</t>
  </si>
  <si>
    <t>niyakap</t>
  </si>
  <si>
    <t>yakap</t>
  </si>
  <si>
    <t>niyapos</t>
  </si>
  <si>
    <t>yapos</t>
  </si>
  <si>
    <t>niyari</t>
  </si>
  <si>
    <t>yari</t>
  </si>
  <si>
    <t>niyaya</t>
  </si>
  <si>
    <t>yaya</t>
  </si>
  <si>
    <t>niyuko</t>
  </si>
  <si>
    <t>yuko</t>
  </si>
  <si>
    <t>niyupi</t>
  </si>
  <si>
    <t>yupi</t>
  </si>
  <si>
    <t>kinain</t>
  </si>
  <si>
    <t>kain</t>
  </si>
  <si>
    <t>tinakbo</t>
  </si>
  <si>
    <t>takbo</t>
  </si>
  <si>
    <t>sinipsip</t>
  </si>
  <si>
    <t>sipsip</t>
  </si>
  <si>
    <t>binunyag</t>
  </si>
  <si>
    <t>bunyag</t>
  </si>
  <si>
    <t>kinuwento</t>
  </si>
  <si>
    <t>kuwento</t>
  </si>
  <si>
    <t>kinamot</t>
  </si>
  <si>
    <t>kamot</t>
  </si>
  <si>
    <t>hinagis</t>
  </si>
  <si>
    <t>hagis</t>
  </si>
  <si>
    <t>sinara</t>
  </si>
  <si>
    <t>sara</t>
  </si>
  <si>
    <t>pinasok</t>
  </si>
  <si>
    <t>pasok</t>
  </si>
  <si>
    <t>tinayo</t>
  </si>
  <si>
    <t>tayo</t>
  </si>
  <si>
    <t>sumayaw</t>
  </si>
  <si>
    <t>sayaw</t>
  </si>
  <si>
    <t>-um-</t>
  </si>
  <si>
    <t>kumanta</t>
  </si>
  <si>
    <t>lumayo</t>
  </si>
  <si>
    <t>layo</t>
  </si>
  <si>
    <t>pumusta</t>
  </si>
  <si>
    <t>pusta</t>
  </si>
  <si>
    <t>kumuha</t>
  </si>
  <si>
    <t>sumumpa</t>
  </si>
  <si>
    <t>sumpa</t>
  </si>
  <si>
    <t>lumindol</t>
  </si>
  <si>
    <t>lindol</t>
  </si>
  <si>
    <t>tumalon</t>
  </si>
  <si>
    <t>talon</t>
  </si>
  <si>
    <t>sumuko</t>
  </si>
  <si>
    <t>suko</t>
  </si>
  <si>
    <t>umasta</t>
  </si>
  <si>
    <t>asta</t>
  </si>
  <si>
    <t>pinaglabanan</t>
  </si>
  <si>
    <t>pinag-+-an</t>
  </si>
  <si>
    <t>circumfix</t>
  </si>
  <si>
    <t>pagsabihan</t>
  </si>
  <si>
    <t>pag-+-han</t>
  </si>
  <si>
    <t>pagtulungan</t>
  </si>
  <si>
    <t>tulong</t>
  </si>
  <si>
    <t>pag-+-an</t>
  </si>
  <si>
    <t>magtawagan</t>
  </si>
  <si>
    <t>tawag</t>
  </si>
  <si>
    <t>mag-+-an</t>
  </si>
  <si>
    <t>magtulungan</t>
  </si>
  <si>
    <t>nagkampihan</t>
  </si>
  <si>
    <t>kampi</t>
  </si>
  <si>
    <t>nag-+-han</t>
  </si>
  <si>
    <t>nagsisihan</t>
  </si>
  <si>
    <t>nakipaglandian</t>
  </si>
  <si>
    <t>landi</t>
  </si>
  <si>
    <t>nakipag-+-an</t>
  </si>
  <si>
    <t>nakipagsagutan</t>
  </si>
  <si>
    <t>makipag-unahan</t>
  </si>
  <si>
    <t>makipag-+-han</t>
  </si>
  <si>
    <t>makipag-+-an</t>
  </si>
  <si>
    <t>makipagpalitan</t>
  </si>
  <si>
    <t>palit</t>
  </si>
  <si>
    <t>makipagsapakan</t>
  </si>
  <si>
    <t>sapak</t>
  </si>
  <si>
    <t>malaman</t>
  </si>
  <si>
    <t>alam</t>
  </si>
  <si>
    <t>ma-+-an</t>
  </si>
  <si>
    <t>phoneme deletion (prefix)</t>
  </si>
  <si>
    <t>matutuhan</t>
  </si>
  <si>
    <t>tuto</t>
  </si>
  <si>
    <t>ma-+-han</t>
  </si>
  <si>
    <t>patulugin</t>
  </si>
  <si>
    <t>tulog</t>
  </si>
  <si>
    <t>pa-+-in</t>
  </si>
  <si>
    <t>papasukin</t>
  </si>
  <si>
    <t>paglinisin</t>
  </si>
  <si>
    <t>pag-+-in</t>
  </si>
  <si>
    <t>pag-aralin</t>
  </si>
  <si>
    <t>palakasan</t>
  </si>
  <si>
    <t>lakas</t>
  </si>
  <si>
    <t>pa-+-an</t>
  </si>
  <si>
    <t>patawagan</t>
  </si>
  <si>
    <t>sinulatan</t>
  </si>
  <si>
    <t>-in-+-an</t>
  </si>
  <si>
    <t>infix &amp; suffix</t>
  </si>
  <si>
    <t>dinampian</t>
  </si>
  <si>
    <t>dampi</t>
  </si>
  <si>
    <t>pinayungan</t>
  </si>
  <si>
    <t>payong</t>
  </si>
  <si>
    <t>niyurakan</t>
  </si>
  <si>
    <t>yurak</t>
  </si>
  <si>
    <t>nilapitan</t>
  </si>
  <si>
    <t>lapit</t>
  </si>
  <si>
    <t>hinawahan</t>
  </si>
  <si>
    <t>hawa</t>
  </si>
  <si>
    <t>-in-+-han</t>
  </si>
  <si>
    <t>pinuntahan</t>
  </si>
  <si>
    <t>punta</t>
  </si>
  <si>
    <t>nilabahan</t>
  </si>
  <si>
    <t>laba</t>
  </si>
  <si>
    <t>inayusan</t>
  </si>
  <si>
    <t>niregaluhan</t>
  </si>
  <si>
    <t>regalo</t>
  </si>
  <si>
    <t>metathesis (infix), phoneme change (suffix)</t>
  </si>
  <si>
    <t>magsumikap</t>
  </si>
  <si>
    <t>sikap</t>
  </si>
  <si>
    <t>mag-+-um-</t>
  </si>
  <si>
    <t>prefix &amp; infix</t>
  </si>
  <si>
    <t>magpumilit</t>
  </si>
  <si>
    <t>pilit</t>
  </si>
  <si>
    <t>magpumiglas</t>
  </si>
  <si>
    <t>piglas</t>
  </si>
  <si>
    <t>magkumahog</t>
  </si>
  <si>
    <t>kahog</t>
  </si>
  <si>
    <t>magsumamo</t>
  </si>
  <si>
    <t>samo</t>
  </si>
  <si>
    <t>nagsumikap</t>
  </si>
  <si>
    <t>nag-+-um-</t>
  </si>
  <si>
    <t>nagpumilit</t>
  </si>
  <si>
    <t>nagpumiglas</t>
  </si>
  <si>
    <t>nagkumahog</t>
  </si>
  <si>
    <t>nagsumamo</t>
  </si>
  <si>
    <t>category</t>
  </si>
  <si>
    <t>subcategory</t>
  </si>
  <si>
    <t>prompts</t>
  </si>
  <si>
    <t>text_en</t>
  </si>
  <si>
    <t>text_tl</t>
  </si>
  <si>
    <t>label</t>
  </si>
  <si>
    <t>id</t>
  </si>
  <si>
    <t>diacritized_word</t>
  </si>
  <si>
    <t>normalized_form</t>
  </si>
  <si>
    <t>diacritics_count</t>
  </si>
  <si>
    <t>composition</t>
  </si>
  <si>
    <t>diacritics</t>
  </si>
  <si>
    <t>composition_diacritics_00000</t>
  </si>
  <si>
    <t>at</t>
  </si>
  <si>
    <t>composition_diacritics_00001</t>
  </si>
  <si>
    <t>mo</t>
  </si>
  <si>
    <t>composition_diacritics_00002</t>
  </si>
  <si>
    <t>ko</t>
  </si>
  <si>
    <t>composition_diacritics_00003</t>
  </si>
  <si>
    <t>ng</t>
  </si>
  <si>
    <t>composition_diacritics_00004</t>
  </si>
  <si>
    <t>ang</t>
  </si>
  <si>
    <t>composition_diacritics_00005</t>
  </si>
  <si>
    <t>sa</t>
  </si>
  <si>
    <t>composition_diacritics_00006</t>
  </si>
  <si>
    <t>pa</t>
  </si>
  <si>
    <t>composition_diacritics_00007</t>
  </si>
  <si>
    <t>ka</t>
  </si>
  <si>
    <t>composition_diacritics_00008</t>
  </si>
  <si>
    <t>kung</t>
  </si>
  <si>
    <t>composition_diacritics_00009</t>
  </si>
  <si>
    <t>ba</t>
  </si>
  <si>
    <t>composition_diacritics_00010</t>
  </si>
  <si>
    <t>beyk</t>
  </si>
  <si>
    <t>composition_diacritics_00011</t>
  </si>
  <si>
    <t>bus</t>
  </si>
  <si>
    <t>composition_diacritics_00012</t>
  </si>
  <si>
    <t>klerk</t>
  </si>
  <si>
    <t>composition_diacritics_00013</t>
  </si>
  <si>
    <t>Mang</t>
  </si>
  <si>
    <t>composition_diacritics_00014</t>
  </si>
  <si>
    <t>nars</t>
  </si>
  <si>
    <t>composition_diacritics_00015</t>
  </si>
  <si>
    <t>nang</t>
  </si>
  <si>
    <t>composition_diacritics_00016</t>
  </si>
  <si>
    <t>ni</t>
  </si>
  <si>
    <t>composition_diacritics_00017</t>
  </si>
  <si>
    <t>o</t>
  </si>
  <si>
    <t>composition_diacritics_00018</t>
  </si>
  <si>
    <t>pag</t>
  </si>
  <si>
    <t>composition_diacritics_00019</t>
  </si>
  <si>
    <t>daw</t>
  </si>
  <si>
    <t>composition_diacritics_00020</t>
  </si>
  <si>
    <t>raw</t>
  </si>
  <si>
    <t>composition_diacritics_00021</t>
  </si>
  <si>
    <t>tren</t>
  </si>
  <si>
    <t>composition_diacritics_00022</t>
  </si>
  <si>
    <t>din</t>
  </si>
  <si>
    <t>composition_diacritics_00023</t>
  </si>
  <si>
    <t>rin</t>
  </si>
  <si>
    <t>composition_diacritics_00024</t>
  </si>
  <si>
    <t>dyip</t>
  </si>
  <si>
    <t>composition_diacritics_00025</t>
  </si>
  <si>
    <t>frak</t>
  </si>
  <si>
    <t>composition_diacritics_00026</t>
  </si>
  <si>
    <t>CPU</t>
  </si>
  <si>
    <t>composition_diacritics_00027</t>
  </si>
  <si>
    <t>pan</t>
  </si>
  <si>
    <t>composition_diacritics_00028</t>
  </si>
  <si>
    <t>si</t>
  </si>
  <si>
    <t>composition_diacritics_00029</t>
  </si>
  <si>
    <t>dram</t>
  </si>
  <si>
    <t>composition_diacritics_00030</t>
  </si>
  <si>
    <t>USA</t>
  </si>
  <si>
    <t>composition_diacritics_00031</t>
  </si>
  <si>
    <t>Mars</t>
  </si>
  <si>
    <t>composition_diacritics_00032</t>
  </si>
  <si>
    <t>ay</t>
  </si>
  <si>
    <t>composition_diacritics_00033</t>
  </si>
  <si>
    <t>nánok</t>
  </si>
  <si>
    <t>nanok</t>
  </si>
  <si>
    <t>composition_diacritics_00034</t>
  </si>
  <si>
    <t>irók</t>
  </si>
  <si>
    <t>irok</t>
  </si>
  <si>
    <t>composition_diacritics_00035</t>
  </si>
  <si>
    <t>língkat</t>
  </si>
  <si>
    <t>lingkat</t>
  </si>
  <si>
    <t>composition_diacritics_00036</t>
  </si>
  <si>
    <t>tudláng</t>
  </si>
  <si>
    <t>tudlang</t>
  </si>
  <si>
    <t>composition_diacritics_00037</t>
  </si>
  <si>
    <t>dogà</t>
  </si>
  <si>
    <t>doga</t>
  </si>
  <si>
    <t>composition_diacritics_00038</t>
  </si>
  <si>
    <t>dúhol</t>
  </si>
  <si>
    <t>duhol</t>
  </si>
  <si>
    <t>composition_diacritics_00039</t>
  </si>
  <si>
    <t>tsék-ap</t>
  </si>
  <si>
    <t>tsek-ap</t>
  </si>
  <si>
    <t>composition_diacritics_00040</t>
  </si>
  <si>
    <t>taryáng</t>
  </si>
  <si>
    <t>taryang</t>
  </si>
  <si>
    <t>composition_diacritics_00041</t>
  </si>
  <si>
    <t>latì</t>
  </si>
  <si>
    <t>lati</t>
  </si>
  <si>
    <t>composition_diacritics_00042</t>
  </si>
  <si>
    <t>dekóro</t>
  </si>
  <si>
    <t>dekoro</t>
  </si>
  <si>
    <t>composition_diacritics_00043</t>
  </si>
  <si>
    <t>abúab</t>
  </si>
  <si>
    <t>abuab</t>
  </si>
  <si>
    <t>composition_diacritics_00044</t>
  </si>
  <si>
    <t>bawaybáway</t>
  </si>
  <si>
    <t>bawaybaway</t>
  </si>
  <si>
    <t>composition_diacritics_00045</t>
  </si>
  <si>
    <t>guguyunán</t>
  </si>
  <si>
    <t>guguyunan</t>
  </si>
  <si>
    <t>composition_diacritics_00046</t>
  </si>
  <si>
    <t>bugák</t>
  </si>
  <si>
    <t>bugak</t>
  </si>
  <si>
    <t>composition_diacritics_00047</t>
  </si>
  <si>
    <t>askád</t>
  </si>
  <si>
    <t>askad</t>
  </si>
  <si>
    <t>composition_diacritics_00048</t>
  </si>
  <si>
    <t>léwek</t>
  </si>
  <si>
    <t>lewek</t>
  </si>
  <si>
    <t>composition_diacritics_00049</t>
  </si>
  <si>
    <t>hangák</t>
  </si>
  <si>
    <t>hangak</t>
  </si>
  <si>
    <t>composition_diacritics_00050</t>
  </si>
  <si>
    <t>máster</t>
  </si>
  <si>
    <t>master</t>
  </si>
  <si>
    <t>composition_diacritics_00051</t>
  </si>
  <si>
    <t>kóbag</t>
  </si>
  <si>
    <t>kobag</t>
  </si>
  <si>
    <t>composition_diacritics_00052</t>
  </si>
  <si>
    <t>kalapnít</t>
  </si>
  <si>
    <t>kalapnit</t>
  </si>
  <si>
    <t>composition_diacritics_00053</t>
  </si>
  <si>
    <t>tapóng</t>
  </si>
  <si>
    <t>tapong</t>
  </si>
  <si>
    <t>composition_diacritics_00054</t>
  </si>
  <si>
    <t>kádaw</t>
  </si>
  <si>
    <t>kadaw</t>
  </si>
  <si>
    <t>composition_diacritics_00055</t>
  </si>
  <si>
    <t>kinséna</t>
  </si>
  <si>
    <t>kinsena</t>
  </si>
  <si>
    <t>composition_diacritics_00056</t>
  </si>
  <si>
    <t>adaptáble</t>
  </si>
  <si>
    <t>adaptable</t>
  </si>
  <si>
    <t>composition_diacritics_00057</t>
  </si>
  <si>
    <t>hadyóng</t>
  </si>
  <si>
    <t>hadyong</t>
  </si>
  <si>
    <t>composition_diacritics_00058</t>
  </si>
  <si>
    <t>himúha</t>
  </si>
  <si>
    <t>himuha</t>
  </si>
  <si>
    <t>composition_diacritics_00059</t>
  </si>
  <si>
    <t>langsí</t>
  </si>
  <si>
    <t>langsi</t>
  </si>
  <si>
    <t>composition_diacritics_00060</t>
  </si>
  <si>
    <t>térter</t>
  </si>
  <si>
    <t>terter</t>
  </si>
  <si>
    <t>composition_diacritics_00061</t>
  </si>
  <si>
    <t>puntílya</t>
  </si>
  <si>
    <t>puntilya</t>
  </si>
  <si>
    <t>composition_diacritics_00062</t>
  </si>
  <si>
    <t>ismágel</t>
  </si>
  <si>
    <t>ismagel</t>
  </si>
  <si>
    <t>composition_diacritics_00063</t>
  </si>
  <si>
    <t>orémus</t>
  </si>
  <si>
    <t>oremus</t>
  </si>
  <si>
    <t>composition_diacritics_00064</t>
  </si>
  <si>
    <t>deskonsoládo</t>
  </si>
  <si>
    <t>deskonsolado</t>
  </si>
  <si>
    <t>composition_diacritics_00065</t>
  </si>
  <si>
    <t>taníba</t>
  </si>
  <si>
    <t>taniba</t>
  </si>
  <si>
    <t>composition_diacritics_00066</t>
  </si>
  <si>
    <t>sangabanáta</t>
  </si>
  <si>
    <t>sangabanata</t>
  </si>
  <si>
    <t>composition_diacritics_00067</t>
  </si>
  <si>
    <t>Grínggo</t>
  </si>
  <si>
    <t>Gringgo</t>
  </si>
  <si>
    <t>composition_diacritics_00068</t>
  </si>
  <si>
    <t>bambó</t>
  </si>
  <si>
    <t>bambo</t>
  </si>
  <si>
    <t>composition_diacritics_00069</t>
  </si>
  <si>
    <t>Esperantísta</t>
  </si>
  <si>
    <t>Esperantista</t>
  </si>
  <si>
    <t>composition_diacritics_00070</t>
  </si>
  <si>
    <t>gaás</t>
  </si>
  <si>
    <t>gaas</t>
  </si>
  <si>
    <t>composition_diacritics_00071</t>
  </si>
  <si>
    <t>súag</t>
  </si>
  <si>
    <t>suag</t>
  </si>
  <si>
    <t>composition_diacritics_00072</t>
  </si>
  <si>
    <t>brasaléte</t>
  </si>
  <si>
    <t>brasalete</t>
  </si>
  <si>
    <t>composition_diacritics_00073</t>
  </si>
  <si>
    <t>sambotáni</t>
  </si>
  <si>
    <t>sambotani</t>
  </si>
  <si>
    <t>composition_diacritics_00074</t>
  </si>
  <si>
    <t>tótol</t>
  </si>
  <si>
    <t>totol</t>
  </si>
  <si>
    <t>composition_diacritics_00075</t>
  </si>
  <si>
    <t>tubár</t>
  </si>
  <si>
    <t>tubar</t>
  </si>
  <si>
    <t>composition_diacritics_00076</t>
  </si>
  <si>
    <t>sináksak</t>
  </si>
  <si>
    <t>sinaksak</t>
  </si>
  <si>
    <t>composition_diacritics_00077</t>
  </si>
  <si>
    <t>Parnáso</t>
  </si>
  <si>
    <t>Parnaso</t>
  </si>
  <si>
    <t>composition_diacritics_00078</t>
  </si>
  <si>
    <t>lómes</t>
  </si>
  <si>
    <t>lomes</t>
  </si>
  <si>
    <t>composition_diacritics_00079</t>
  </si>
  <si>
    <t>bulaklákin</t>
  </si>
  <si>
    <t>bulaklakin</t>
  </si>
  <si>
    <t>composition_diacritics_00080</t>
  </si>
  <si>
    <t>húbak</t>
  </si>
  <si>
    <t>hubak</t>
  </si>
  <si>
    <t>composition_diacritics_00081</t>
  </si>
  <si>
    <t>tíbuk</t>
  </si>
  <si>
    <t>tibuk</t>
  </si>
  <si>
    <t>composition_diacritics_00082</t>
  </si>
  <si>
    <t>práyle</t>
  </si>
  <si>
    <t>prayle</t>
  </si>
  <si>
    <t>composition_diacritics_00083</t>
  </si>
  <si>
    <t>Salomé</t>
  </si>
  <si>
    <t>Salome</t>
  </si>
  <si>
    <t>composition_diacritics_00084</t>
  </si>
  <si>
    <t>sambáli</t>
  </si>
  <si>
    <t>sambali</t>
  </si>
  <si>
    <t>composition_diacritics_00085</t>
  </si>
  <si>
    <t>panlílok</t>
  </si>
  <si>
    <t>panlilok</t>
  </si>
  <si>
    <t>composition_diacritics_00086</t>
  </si>
  <si>
    <t>bángto</t>
  </si>
  <si>
    <t>bangto</t>
  </si>
  <si>
    <t>composition_diacritics_00087</t>
  </si>
  <si>
    <t>lógar</t>
  </si>
  <si>
    <t>logar</t>
  </si>
  <si>
    <t>composition_diacritics_00088</t>
  </si>
  <si>
    <t>laklíp</t>
  </si>
  <si>
    <t>laklip</t>
  </si>
  <si>
    <t>composition_diacritics_00089</t>
  </si>
  <si>
    <t>timbabalák</t>
  </si>
  <si>
    <t>timbabalak</t>
  </si>
  <si>
    <t>composition_diacritics_00090</t>
  </si>
  <si>
    <t>kumpás</t>
  </si>
  <si>
    <t>kumpas</t>
  </si>
  <si>
    <t>composition_diacritics_00091</t>
  </si>
  <si>
    <t>ngingílo</t>
  </si>
  <si>
    <t>ngingilo</t>
  </si>
  <si>
    <t>composition_diacritics_00092</t>
  </si>
  <si>
    <t>rólyo</t>
  </si>
  <si>
    <t>rolyo</t>
  </si>
  <si>
    <t>composition_diacritics_00093</t>
  </si>
  <si>
    <t>gátong</t>
  </si>
  <si>
    <t>gatong</t>
  </si>
  <si>
    <t>composition_diacritics_00094</t>
  </si>
  <si>
    <t>sambót</t>
  </si>
  <si>
    <t>sambot</t>
  </si>
  <si>
    <t>composition_diacritics_00095</t>
  </si>
  <si>
    <t>masélan</t>
  </si>
  <si>
    <t>maselan</t>
  </si>
  <si>
    <t>composition_diacritics_00096</t>
  </si>
  <si>
    <t>progréso</t>
  </si>
  <si>
    <t>progreso</t>
  </si>
  <si>
    <t>composition_diacritics_00097</t>
  </si>
  <si>
    <t>sábot</t>
  </si>
  <si>
    <t>sabot</t>
  </si>
  <si>
    <t>composition_diacritics_00098</t>
  </si>
  <si>
    <t>bonáy</t>
  </si>
  <si>
    <t>bonay</t>
  </si>
  <si>
    <t>composition_diacritics_00099</t>
  </si>
  <si>
    <t>heokímiká</t>
  </si>
  <si>
    <t>heokimika</t>
  </si>
  <si>
    <t>composition_diacritics_00100</t>
  </si>
  <si>
    <t>lagáring patíng</t>
  </si>
  <si>
    <t>lagaring pating</t>
  </si>
  <si>
    <t>composition_diacritics_00101</t>
  </si>
  <si>
    <t>préskripsiyón</t>
  </si>
  <si>
    <t>preskripsiyon</t>
  </si>
  <si>
    <t>composition_diacritics_00102</t>
  </si>
  <si>
    <t>arî-arìan</t>
  </si>
  <si>
    <t>ari-arian</t>
  </si>
  <si>
    <t>composition_diacritics_00103</t>
  </si>
  <si>
    <t>prosáikó</t>
  </si>
  <si>
    <t>prosaiko</t>
  </si>
  <si>
    <t>composition_diacritics_00104</t>
  </si>
  <si>
    <t>ponémang súprasegmentál</t>
  </si>
  <si>
    <t>ponemang suprasegmental</t>
  </si>
  <si>
    <t>composition_diacritics_00105</t>
  </si>
  <si>
    <t>bítin-bítin</t>
  </si>
  <si>
    <t>bitin-bitin</t>
  </si>
  <si>
    <t>composition_diacritics_00106</t>
  </si>
  <si>
    <t>síning bíswal</t>
  </si>
  <si>
    <t>sining biswal</t>
  </si>
  <si>
    <t>composition_diacritics_00107</t>
  </si>
  <si>
    <t>éspumadéra</t>
  </si>
  <si>
    <t>espumadera</t>
  </si>
  <si>
    <t>composition_diacritics_00108</t>
  </si>
  <si>
    <t>walâng-hábas</t>
  </si>
  <si>
    <t>walang-habas</t>
  </si>
  <si>
    <t>composition_diacritics_00109</t>
  </si>
  <si>
    <t>bálabágo</t>
  </si>
  <si>
    <t>balabago</t>
  </si>
  <si>
    <t>composition_diacritics_00110</t>
  </si>
  <si>
    <t>ságulî</t>
  </si>
  <si>
    <t>saguli</t>
  </si>
  <si>
    <t>composition_diacritics_00111</t>
  </si>
  <si>
    <t>segrégasyón</t>
  </si>
  <si>
    <t>segregasyon</t>
  </si>
  <si>
    <t>composition_diacritics_00112</t>
  </si>
  <si>
    <t>pángkinabukásan</t>
  </si>
  <si>
    <t>pangkinabukasan</t>
  </si>
  <si>
    <t>composition_diacritics_00113</t>
  </si>
  <si>
    <t>idyosingkrátikó</t>
  </si>
  <si>
    <t>idyosingkratiko</t>
  </si>
  <si>
    <t>composition_diacritics_00114</t>
  </si>
  <si>
    <t>Amánsináya</t>
  </si>
  <si>
    <t>Amansinaya</t>
  </si>
  <si>
    <t>composition_diacritics_00115</t>
  </si>
  <si>
    <t>erisípelá</t>
  </si>
  <si>
    <t>erisipela</t>
  </si>
  <si>
    <t>composition_diacritics_00116</t>
  </si>
  <si>
    <t>Kélengná</t>
  </si>
  <si>
    <t>Kelengna</t>
  </si>
  <si>
    <t>composition_diacritics_00117</t>
  </si>
  <si>
    <t>kisámkisám</t>
  </si>
  <si>
    <t>kisamkisam</t>
  </si>
  <si>
    <t>composition_diacritics_00118</t>
  </si>
  <si>
    <t>ómertá</t>
  </si>
  <si>
    <t>omerta</t>
  </si>
  <si>
    <t>composition_diacritics_00119</t>
  </si>
  <si>
    <t>kaáno-áno</t>
  </si>
  <si>
    <t>kaano-ano</t>
  </si>
  <si>
    <t>composition_diacritics_00120</t>
  </si>
  <si>
    <t>agóm-agóm</t>
  </si>
  <si>
    <t>agom-agom</t>
  </si>
  <si>
    <t>composition_diacritics_00121</t>
  </si>
  <si>
    <t>káraóo</t>
  </si>
  <si>
    <t>karaoo</t>
  </si>
  <si>
    <t>composition_diacritics_00122</t>
  </si>
  <si>
    <t>kísamé</t>
  </si>
  <si>
    <t>kisame</t>
  </si>
  <si>
    <t>composition_diacritics_00123</t>
  </si>
  <si>
    <t>mánifést</t>
  </si>
  <si>
    <t>manifest</t>
  </si>
  <si>
    <t>composition_diacritics_00124</t>
  </si>
  <si>
    <t>kára-krús</t>
  </si>
  <si>
    <t>kara-krus</t>
  </si>
  <si>
    <t>composition_diacritics_00125</t>
  </si>
  <si>
    <t>kumperénsiyá</t>
  </si>
  <si>
    <t>kumperensiya</t>
  </si>
  <si>
    <t>composition_diacritics_00126</t>
  </si>
  <si>
    <t>himbúbutók</t>
  </si>
  <si>
    <t>himbubutok</t>
  </si>
  <si>
    <t>composition_diacritics_00127</t>
  </si>
  <si>
    <t>bugnít-bugnít</t>
  </si>
  <si>
    <t>bugnit-bugnit</t>
  </si>
  <si>
    <t>composition_diacritics_00128</t>
  </si>
  <si>
    <t>ilagáng búkid</t>
  </si>
  <si>
    <t>ilagang bukid</t>
  </si>
  <si>
    <t>composition_diacritics_00129</t>
  </si>
  <si>
    <t>eksprópiyá</t>
  </si>
  <si>
    <t>ekspropiya</t>
  </si>
  <si>
    <t>composition_diacritics_00130</t>
  </si>
  <si>
    <t>kambál-ang-loób</t>
  </si>
  <si>
    <t>kambal-ang-loob</t>
  </si>
  <si>
    <t>composition_diacritics_00131</t>
  </si>
  <si>
    <t>párodíst</t>
  </si>
  <si>
    <t>parodist</t>
  </si>
  <si>
    <t>composition_diacritics_00132</t>
  </si>
  <si>
    <t>éstankílyos</t>
  </si>
  <si>
    <t>estankilyos</t>
  </si>
  <si>
    <t>composition_diacritics_00133</t>
  </si>
  <si>
    <t>sálo-sálo</t>
  </si>
  <si>
    <t>salo-salo</t>
  </si>
  <si>
    <t>composition_diacritics_00134</t>
  </si>
  <si>
    <t>balángdayá</t>
  </si>
  <si>
    <t>balangdaya</t>
  </si>
  <si>
    <t>composition_diacritics_00135</t>
  </si>
  <si>
    <t>pákat-áso</t>
  </si>
  <si>
    <t>pakat-aso</t>
  </si>
  <si>
    <t>composition_diacritics_00136</t>
  </si>
  <si>
    <t>ádda dítoy</t>
  </si>
  <si>
    <t>adda ditoy</t>
  </si>
  <si>
    <t>composition_diacritics_00137</t>
  </si>
  <si>
    <t>súlfuró</t>
  </si>
  <si>
    <t>sulfuro</t>
  </si>
  <si>
    <t>composition_diacritics_00138</t>
  </si>
  <si>
    <t>pákainín</t>
  </si>
  <si>
    <t>pakainin</t>
  </si>
  <si>
    <t>composition_diacritics_00139</t>
  </si>
  <si>
    <t>bartíliyá</t>
  </si>
  <si>
    <t>bartiliya</t>
  </si>
  <si>
    <t>composition_diacritics_00140</t>
  </si>
  <si>
    <t>dagís-dagísan</t>
  </si>
  <si>
    <t>dagis-dagisan</t>
  </si>
  <si>
    <t>composition_diacritics_00141</t>
  </si>
  <si>
    <t>baló-baló</t>
  </si>
  <si>
    <t>balo-balo</t>
  </si>
  <si>
    <t>composition_diacritics_00142</t>
  </si>
  <si>
    <t>independénsiyá</t>
  </si>
  <si>
    <t>independensiya</t>
  </si>
  <si>
    <t>composition_diacritics_00143</t>
  </si>
  <si>
    <t>sálay-sálay-ulingán</t>
  </si>
  <si>
    <t>salay-salay-ulingan</t>
  </si>
  <si>
    <t>composition_diacritics_00144</t>
  </si>
  <si>
    <t>típikó</t>
  </si>
  <si>
    <t>tipiko</t>
  </si>
  <si>
    <t>composition_diacritics_00145</t>
  </si>
  <si>
    <t>táksimétro</t>
  </si>
  <si>
    <t>taksimetro</t>
  </si>
  <si>
    <t>composition_diacritics_00146</t>
  </si>
  <si>
    <t>ábot-balíta</t>
  </si>
  <si>
    <t>abot-balita</t>
  </si>
  <si>
    <t>composition_diacritics_00147</t>
  </si>
  <si>
    <t>pérporadór</t>
  </si>
  <si>
    <t>perporador</t>
  </si>
  <si>
    <t>composition_diacritics_00148</t>
  </si>
  <si>
    <t>ikápakápang-</t>
  </si>
  <si>
    <t>ikapakapang-</t>
  </si>
  <si>
    <t>composition_diacritics_00149</t>
  </si>
  <si>
    <t>diyátesís</t>
  </si>
  <si>
    <t>diyatesis</t>
  </si>
  <si>
    <t>composition_diacritics_00150</t>
  </si>
  <si>
    <t>báligtáran</t>
  </si>
  <si>
    <t>baligtaran</t>
  </si>
  <si>
    <t>composition_diacritics_00151</t>
  </si>
  <si>
    <t>mínatamís</t>
  </si>
  <si>
    <t>minatamis</t>
  </si>
  <si>
    <t>composition_diacritics_00152</t>
  </si>
  <si>
    <t>tártaró</t>
  </si>
  <si>
    <t>tartaro</t>
  </si>
  <si>
    <t>composition_diacritics_00153</t>
  </si>
  <si>
    <t>krustáseó</t>
  </si>
  <si>
    <t>krustaseo</t>
  </si>
  <si>
    <t>composition_diacritics_00154</t>
  </si>
  <si>
    <t>pápiró</t>
  </si>
  <si>
    <t>papiro</t>
  </si>
  <si>
    <t>composition_diacritics_00155</t>
  </si>
  <si>
    <t>pápatáy-pátay</t>
  </si>
  <si>
    <t>papatay-patay</t>
  </si>
  <si>
    <t>composition_diacritics_00156</t>
  </si>
  <si>
    <t>bukáng-liwaywáy</t>
  </si>
  <si>
    <t>bukang-liwayway</t>
  </si>
  <si>
    <t>composition_diacritics_00157</t>
  </si>
  <si>
    <t>ensíkliká</t>
  </si>
  <si>
    <t>ensiklika</t>
  </si>
  <si>
    <t>composition_diacritics_00158</t>
  </si>
  <si>
    <t>ábakó</t>
  </si>
  <si>
    <t>abako</t>
  </si>
  <si>
    <t>composition_diacritics_00159</t>
  </si>
  <si>
    <t>ádmirál</t>
  </si>
  <si>
    <t>admiral</t>
  </si>
  <si>
    <t>composition_diacritics_00160</t>
  </si>
  <si>
    <t>pagpapantáy-paá</t>
  </si>
  <si>
    <t>pagpapantay-paa</t>
  </si>
  <si>
    <t>composition_diacritics_00161</t>
  </si>
  <si>
    <t>bahágharì</t>
  </si>
  <si>
    <t>bahaghari</t>
  </si>
  <si>
    <t>composition_diacritics_00162</t>
  </si>
  <si>
    <t>kúkuwána</t>
  </si>
  <si>
    <t>kukuwana</t>
  </si>
  <si>
    <t>composition_diacritics_00163</t>
  </si>
  <si>
    <t>mapágpahinírap</t>
  </si>
  <si>
    <t>mapagpahinirap</t>
  </si>
  <si>
    <t>composition_diacritics_00164</t>
  </si>
  <si>
    <t>ánghelús</t>
  </si>
  <si>
    <t>anghelus</t>
  </si>
  <si>
    <t>composition_diacritics_00165</t>
  </si>
  <si>
    <t>entráda henerál</t>
  </si>
  <si>
    <t>entrada heneral</t>
  </si>
  <si>
    <t>composition_diacritics_00166</t>
  </si>
  <si>
    <t>pawálang-bisà</t>
  </si>
  <si>
    <t>pawalang-bisa</t>
  </si>
  <si>
    <t>uppercase_count</t>
  </si>
  <si>
    <t>uppercase</t>
  </si>
  <si>
    <t>composition_uppercase_00000</t>
  </si>
  <si>
    <t>do-om</t>
  </si>
  <si>
    <t>composition_uppercase_00001</t>
  </si>
  <si>
    <t>pidot</t>
  </si>
  <si>
    <t>composition_uppercase_00002</t>
  </si>
  <si>
    <t>longhand</t>
  </si>
  <si>
    <t>composition_uppercase_00003</t>
  </si>
  <si>
    <t>multikolor</t>
  </si>
  <si>
    <t>composition_uppercase_00004</t>
  </si>
  <si>
    <t>mamulubi</t>
  </si>
  <si>
    <t>composition_uppercase_00005</t>
  </si>
  <si>
    <t>inosente</t>
  </si>
  <si>
    <t>composition_uppercase_00006</t>
  </si>
  <si>
    <t>sensum</t>
  </si>
  <si>
    <t>composition_uppercase_00007</t>
  </si>
  <si>
    <t>odontolohiya</t>
  </si>
  <si>
    <t>composition_uppercase_00008</t>
  </si>
  <si>
    <t>hoyang</t>
  </si>
  <si>
    <t>composition_uppercase_00009</t>
  </si>
  <si>
    <t>norm</t>
  </si>
  <si>
    <t>composition_uppercase_00010</t>
  </si>
  <si>
    <t>talisayan</t>
  </si>
  <si>
    <t>composition_uppercase_00011</t>
  </si>
  <si>
    <t>iwit</t>
  </si>
  <si>
    <t>composition_uppercase_00012</t>
  </si>
  <si>
    <t>kabukiran</t>
  </si>
  <si>
    <t>composition_uppercase_00013</t>
  </si>
  <si>
    <t>en clair</t>
  </si>
  <si>
    <t>composition_uppercase_00014</t>
  </si>
  <si>
    <t>piston</t>
  </si>
  <si>
    <t>composition_uppercase_00015</t>
  </si>
  <si>
    <t>liptong</t>
  </si>
  <si>
    <t>composition_uppercase_00016</t>
  </si>
  <si>
    <t>tenet</t>
  </si>
  <si>
    <t>composition_uppercase_00017</t>
  </si>
  <si>
    <t>puting-tainga</t>
  </si>
  <si>
    <t>composition_uppercase_00018</t>
  </si>
  <si>
    <t>plastik</t>
  </si>
  <si>
    <t>composition_uppercase_00019</t>
  </si>
  <si>
    <t>adaptor</t>
  </si>
  <si>
    <t>composition_uppercase_00020</t>
  </si>
  <si>
    <t>baludlod</t>
  </si>
  <si>
    <t>composition_uppercase_00021</t>
  </si>
  <si>
    <t>tunok</t>
  </si>
  <si>
    <t>composition_uppercase_00022</t>
  </si>
  <si>
    <t>kalembang</t>
  </si>
  <si>
    <t>composition_uppercase_00023</t>
  </si>
  <si>
    <t>builder</t>
  </si>
  <si>
    <t>composition_uppercase_00024</t>
  </si>
  <si>
    <t>impangat</t>
  </si>
  <si>
    <t>composition_uppercase_00025</t>
  </si>
  <si>
    <t>panayimtim</t>
  </si>
  <si>
    <t>composition_uppercase_00026</t>
  </si>
  <si>
    <t>stained glass</t>
  </si>
  <si>
    <t>composition_uppercase_00027</t>
  </si>
  <si>
    <t>pangasiwaan</t>
  </si>
  <si>
    <t>composition_uppercase_00028</t>
  </si>
  <si>
    <t>hamaka</t>
  </si>
  <si>
    <t>composition_uppercase_00029</t>
  </si>
  <si>
    <t>pagbabangon</t>
  </si>
  <si>
    <t>composition_uppercase_00030</t>
  </si>
  <si>
    <t>jester</t>
  </si>
  <si>
    <t>composition_uppercase_00031</t>
  </si>
  <si>
    <t>paleolithic</t>
  </si>
  <si>
    <t>composition_uppercase_00032</t>
  </si>
  <si>
    <t>contrition</t>
  </si>
  <si>
    <t>composition_uppercase_00033</t>
  </si>
  <si>
    <t>domador</t>
  </si>
  <si>
    <t>composition_uppercase_00034</t>
  </si>
  <si>
    <t>zouk</t>
  </si>
  <si>
    <t>composition_uppercase_00035</t>
  </si>
  <si>
    <t>bente</t>
  </si>
  <si>
    <t>composition_uppercase_00036</t>
  </si>
  <si>
    <t>naplag</t>
  </si>
  <si>
    <t>composition_uppercase_00037</t>
  </si>
  <si>
    <t>lambo</t>
  </si>
  <si>
    <t>composition_uppercase_00038</t>
  </si>
  <si>
    <t>pakikihamok</t>
  </si>
  <si>
    <t>composition_uppercase_00039</t>
  </si>
  <si>
    <t>hapaw</t>
  </si>
  <si>
    <t>composition_uppercase_00040</t>
  </si>
  <si>
    <t>suggest</t>
  </si>
  <si>
    <t>composition_uppercase_00041</t>
  </si>
  <si>
    <t>tiger</t>
  </si>
  <si>
    <t>composition_uppercase_00042</t>
  </si>
  <si>
    <t>panyolon</t>
  </si>
  <si>
    <t>composition_uppercase_00043</t>
  </si>
  <si>
    <t>naranghada</t>
  </si>
  <si>
    <t>composition_uppercase_00044</t>
  </si>
  <si>
    <t>wagas</t>
  </si>
  <si>
    <t>composition_uppercase_00045</t>
  </si>
  <si>
    <t>bulaw</t>
  </si>
  <si>
    <t>composition_uppercase_00046</t>
  </si>
  <si>
    <t>dabok</t>
  </si>
  <si>
    <t>composition_uppercase_00047</t>
  </si>
  <si>
    <t>karsada</t>
  </si>
  <si>
    <t>composition_uppercase_00048</t>
  </si>
  <si>
    <t>embase</t>
  </si>
  <si>
    <t>composition_uppercase_00049</t>
  </si>
  <si>
    <t>zoolohiya</t>
  </si>
  <si>
    <t>composition_uppercase_00050</t>
  </si>
  <si>
    <t>balangkantis</t>
  </si>
  <si>
    <t>composition_uppercase_00051</t>
  </si>
  <si>
    <t>bise</t>
  </si>
  <si>
    <t>composition_uppercase_00052</t>
  </si>
  <si>
    <t>bokatibo</t>
  </si>
  <si>
    <t>composition_uppercase_00053</t>
  </si>
  <si>
    <t>composition_uppercase_00054</t>
  </si>
  <si>
    <t>mantala</t>
  </si>
  <si>
    <t>composition_uppercase_00055</t>
  </si>
  <si>
    <t>humit</t>
  </si>
  <si>
    <t>composition_uppercase_00056</t>
  </si>
  <si>
    <t>pribado</t>
  </si>
  <si>
    <t>composition_uppercase_00057</t>
  </si>
  <si>
    <t>talambo</t>
  </si>
  <si>
    <t>composition_uppercase_00058</t>
  </si>
  <si>
    <t>tallo</t>
  </si>
  <si>
    <t>composition_uppercase_00059</t>
  </si>
  <si>
    <t>kontestant</t>
  </si>
  <si>
    <t>composition_uppercase_00060</t>
  </si>
  <si>
    <t>plating</t>
  </si>
  <si>
    <t>composition_uppercase_00061</t>
  </si>
  <si>
    <t>laktaw</t>
  </si>
  <si>
    <t>composition_uppercase_00062</t>
  </si>
  <si>
    <t>electrostatic</t>
  </si>
  <si>
    <t>composition_uppercase_00063</t>
  </si>
  <si>
    <t>leig kemagi</t>
  </si>
  <si>
    <t>composition_uppercase_00064</t>
  </si>
  <si>
    <t>santing</t>
  </si>
  <si>
    <t>composition_uppercase_00065</t>
  </si>
  <si>
    <t>tuwel</t>
  </si>
  <si>
    <t>composition_uppercase_00066</t>
  </si>
  <si>
    <t>hard knocks</t>
  </si>
  <si>
    <t>composition_uppercase_00067</t>
  </si>
  <si>
    <t>demandante</t>
  </si>
  <si>
    <t>composition_uppercase_00068</t>
  </si>
  <si>
    <t>agal</t>
  </si>
  <si>
    <t>composition_uppercase_00069</t>
  </si>
  <si>
    <t>garit</t>
  </si>
  <si>
    <t>composition_uppercase_00070</t>
  </si>
  <si>
    <t>uko</t>
  </si>
  <si>
    <t>composition_uppercase_00071</t>
  </si>
  <si>
    <t>bugtaton</t>
  </si>
  <si>
    <t>composition_uppercase_00072</t>
  </si>
  <si>
    <t>grosero</t>
  </si>
  <si>
    <t>composition_uppercase_00073</t>
  </si>
  <si>
    <t>pamantungan</t>
  </si>
  <si>
    <t>composition_uppercase_00074</t>
  </si>
  <si>
    <t>footing</t>
  </si>
  <si>
    <t>composition_uppercase_00075</t>
  </si>
  <si>
    <t>erehiya</t>
  </si>
  <si>
    <t>composition_uppercase_00076</t>
  </si>
  <si>
    <t>kutsay</t>
  </si>
  <si>
    <t>composition_uppercase_00077</t>
  </si>
  <si>
    <t>tanglo</t>
  </si>
  <si>
    <t>composition_uppercase_00078</t>
  </si>
  <si>
    <t>trumpo</t>
  </si>
  <si>
    <t>composition_uppercase_00079</t>
  </si>
  <si>
    <t>bansag</t>
  </si>
  <si>
    <t>composition_uppercase_00080</t>
  </si>
  <si>
    <t>redundansiya</t>
  </si>
  <si>
    <t>composition_uppercase_00081</t>
  </si>
  <si>
    <t>tampawak</t>
  </si>
  <si>
    <t>composition_uppercase_00082</t>
  </si>
  <si>
    <t>ngulungkot</t>
  </si>
  <si>
    <t>composition_uppercase_00083</t>
  </si>
  <si>
    <t>kuyob</t>
  </si>
  <si>
    <t>composition_uppercase_00084</t>
  </si>
  <si>
    <t>alimpuyok</t>
  </si>
  <si>
    <t>composition_uppercase_00085</t>
  </si>
  <si>
    <t>torment</t>
  </si>
  <si>
    <t>composition_uppercase_00086</t>
  </si>
  <si>
    <t>mayaman</t>
  </si>
  <si>
    <t>composition_uppercase_00087</t>
  </si>
  <si>
    <t>sadya</t>
  </si>
  <si>
    <t>composition_uppercase_00088</t>
  </si>
  <si>
    <t>kagan</t>
  </si>
  <si>
    <t>composition_uppercase_00089</t>
  </si>
  <si>
    <t>uma</t>
  </si>
  <si>
    <t>composition_uppercase_00090</t>
  </si>
  <si>
    <t>irgat</t>
  </si>
  <si>
    <t>composition_uppercase_00091</t>
  </si>
  <si>
    <t>karboniko</t>
  </si>
  <si>
    <t>composition_uppercase_00092</t>
  </si>
  <si>
    <t>Mamumugot</t>
  </si>
  <si>
    <t>mamumugot</t>
  </si>
  <si>
    <t>composition_uppercase_00093</t>
  </si>
  <si>
    <t>Ormoc</t>
  </si>
  <si>
    <t>ormoc</t>
  </si>
  <si>
    <t>composition_uppercase_00094</t>
  </si>
  <si>
    <t>Qur’an</t>
  </si>
  <si>
    <t>qur’an</t>
  </si>
  <si>
    <t>composition_uppercase_00095</t>
  </si>
  <si>
    <t>Pebo</t>
  </si>
  <si>
    <t>pebo</t>
  </si>
  <si>
    <t>composition_uppercase_00096</t>
  </si>
  <si>
    <t>Basta!</t>
  </si>
  <si>
    <t>basta!</t>
  </si>
  <si>
    <t>composition_uppercase_00097</t>
  </si>
  <si>
    <t>Persia</t>
  </si>
  <si>
    <t>persia</t>
  </si>
  <si>
    <t>composition_uppercase_00098</t>
  </si>
  <si>
    <t>bitamina B komplex</t>
  </si>
  <si>
    <t>bitamina b komplex</t>
  </si>
  <si>
    <t>composition_uppercase_00099</t>
  </si>
  <si>
    <t>Kidapawan</t>
  </si>
  <si>
    <t>kidapawan</t>
  </si>
  <si>
    <t>composition_uppercase_00100</t>
  </si>
  <si>
    <t>Tagadoongan</t>
  </si>
  <si>
    <t>tagadoongan</t>
  </si>
  <si>
    <t>composition_uppercase_00101</t>
  </si>
  <si>
    <t>Oe</t>
  </si>
  <si>
    <t>oe</t>
  </si>
  <si>
    <t>composition_uppercase_00102</t>
  </si>
  <si>
    <t>Maccabee</t>
  </si>
  <si>
    <t>maccabee</t>
  </si>
  <si>
    <t>composition_uppercase_00103</t>
  </si>
  <si>
    <t>O</t>
  </si>
  <si>
    <t>composition_uppercase_00104</t>
  </si>
  <si>
    <t>Muse</t>
  </si>
  <si>
    <t>muse</t>
  </si>
  <si>
    <t>composition_uppercase_00105</t>
  </si>
  <si>
    <t>Sidapa</t>
  </si>
  <si>
    <t>sidapa</t>
  </si>
  <si>
    <t>composition_uppercase_00106</t>
  </si>
  <si>
    <t>Peter</t>
  </si>
  <si>
    <t>peter</t>
  </si>
  <si>
    <t>composition_uppercase_00107</t>
  </si>
  <si>
    <t>Atlantic</t>
  </si>
  <si>
    <t>atlantic</t>
  </si>
  <si>
    <t>composition_uppercase_00108</t>
  </si>
  <si>
    <t>Hellenist</t>
  </si>
  <si>
    <t>hellenist</t>
  </si>
  <si>
    <t>composition_uppercase_00109</t>
  </si>
  <si>
    <t>Procrustean</t>
  </si>
  <si>
    <t>procrustean</t>
  </si>
  <si>
    <t>composition_uppercase_00110</t>
  </si>
  <si>
    <t>Gaygayoma</t>
  </si>
  <si>
    <t>gaygayoma</t>
  </si>
  <si>
    <t>composition_uppercase_00111</t>
  </si>
  <si>
    <t>Trojan</t>
  </si>
  <si>
    <t>trojan</t>
  </si>
  <si>
    <t>composition_uppercase_00112</t>
  </si>
  <si>
    <t>Ligones</t>
  </si>
  <si>
    <t>ligones</t>
  </si>
  <si>
    <t>composition_uppercase_00113</t>
  </si>
  <si>
    <t>Shanghai</t>
  </si>
  <si>
    <t>shanghai</t>
  </si>
  <si>
    <t>composition_uppercase_00114</t>
  </si>
  <si>
    <t>Malyari</t>
  </si>
  <si>
    <t>malyari</t>
  </si>
  <si>
    <t>composition_uppercase_00115</t>
  </si>
  <si>
    <t>Eba</t>
  </si>
  <si>
    <t>eba</t>
  </si>
  <si>
    <t>composition_uppercase_00116</t>
  </si>
  <si>
    <t>Idianale</t>
  </si>
  <si>
    <t>idianale</t>
  </si>
  <si>
    <t>composition_uppercase_00117</t>
  </si>
  <si>
    <t>Azteka</t>
  </si>
  <si>
    <t>azteka</t>
  </si>
  <si>
    <t>composition_uppercase_00118</t>
  </si>
  <si>
    <t>Gambia</t>
  </si>
  <si>
    <t>gambia</t>
  </si>
  <si>
    <t>composition_uppercase_00119</t>
  </si>
  <si>
    <t>Corinthians</t>
  </si>
  <si>
    <t>corinthians</t>
  </si>
  <si>
    <t>composition_uppercase_00120</t>
  </si>
  <si>
    <t>Jerico</t>
  </si>
  <si>
    <t>jerico</t>
  </si>
  <si>
    <t>composition_uppercase_00121</t>
  </si>
  <si>
    <t>Kaaba</t>
  </si>
  <si>
    <t>kaaba</t>
  </si>
  <si>
    <t>composition_uppercase_00122</t>
  </si>
  <si>
    <t>Parnassus</t>
  </si>
  <si>
    <t>parnassus</t>
  </si>
  <si>
    <t>composition_uppercase_00123</t>
  </si>
  <si>
    <t>Arachnida</t>
  </si>
  <si>
    <t>arachnida</t>
  </si>
  <si>
    <t>composition_uppercase_00124</t>
  </si>
  <si>
    <t>Esperanto</t>
  </si>
  <si>
    <t>esperanto</t>
  </si>
  <si>
    <t>composition_uppercase_00125</t>
  </si>
  <si>
    <t>Tripoli</t>
  </si>
  <si>
    <t>tripoli</t>
  </si>
  <si>
    <t>composition_uppercase_00126</t>
  </si>
  <si>
    <t>Maddukayang</t>
  </si>
  <si>
    <t>maddukayang</t>
  </si>
  <si>
    <t>composition_uppercase_00127</t>
  </si>
  <si>
    <t>Goodbye!</t>
  </si>
  <si>
    <t>goodbye!</t>
  </si>
  <si>
    <t>composition_uppercase_00128</t>
  </si>
  <si>
    <t>Klaro!</t>
  </si>
  <si>
    <t>klaro!</t>
  </si>
  <si>
    <t>composition_uppercase_00129</t>
  </si>
  <si>
    <t>Kalanguya</t>
  </si>
  <si>
    <t>kalanguya</t>
  </si>
  <si>
    <t>composition_uppercase_00130</t>
  </si>
  <si>
    <t>Freemasonry</t>
  </si>
  <si>
    <t>freemasonry</t>
  </si>
  <si>
    <t>composition_uppercase_00131</t>
  </si>
  <si>
    <t>Renasimyento</t>
  </si>
  <si>
    <t>renasimyento</t>
  </si>
  <si>
    <t>composition_uppercase_00132</t>
  </si>
  <si>
    <t>Indochina</t>
  </si>
  <si>
    <t>indochina</t>
  </si>
  <si>
    <t>composition_uppercase_00133</t>
  </si>
  <si>
    <t>Asyano</t>
  </si>
  <si>
    <t>asyano</t>
  </si>
  <si>
    <t>composition_uppercase_00134</t>
  </si>
  <si>
    <t>Styx</t>
  </si>
  <si>
    <t>styx</t>
  </si>
  <si>
    <t>composition_uppercase_00135</t>
  </si>
  <si>
    <t>Timbuktu</t>
  </si>
  <si>
    <t>timbuktu</t>
  </si>
  <si>
    <t>composition_uppercase_00136</t>
  </si>
  <si>
    <t>M</t>
  </si>
  <si>
    <t>m</t>
  </si>
  <si>
    <t>composition_uppercase_00137</t>
  </si>
  <si>
    <t>Lupa</t>
  </si>
  <si>
    <t>lupa</t>
  </si>
  <si>
    <t>composition_uppercase_00138</t>
  </si>
  <si>
    <t>Fates</t>
  </si>
  <si>
    <t>fates</t>
  </si>
  <si>
    <t>composition_uppercase_00139</t>
  </si>
  <si>
    <t>Putangna!</t>
  </si>
  <si>
    <t>putangna!</t>
  </si>
  <si>
    <t>composition_uppercase_00140</t>
  </si>
  <si>
    <t>Sheba</t>
  </si>
  <si>
    <t>sheba</t>
  </si>
  <si>
    <t>composition_uppercase_00141</t>
  </si>
  <si>
    <t>Abril</t>
  </si>
  <si>
    <t>abril</t>
  </si>
  <si>
    <t>composition_uppercase_00142</t>
  </si>
  <si>
    <t>Po!</t>
  </si>
  <si>
    <t>po!</t>
  </si>
  <si>
    <t>composition_uppercase_00143</t>
  </si>
  <si>
    <t>Bangyan</t>
  </si>
  <si>
    <t>bangyan</t>
  </si>
  <si>
    <t>composition_uppercase_00144</t>
  </si>
  <si>
    <t>Botswana</t>
  </si>
  <si>
    <t>botswana</t>
  </si>
  <si>
    <t>composition_uppercase_00145</t>
  </si>
  <si>
    <t>Epikureismo</t>
  </si>
  <si>
    <t>epikureismo</t>
  </si>
  <si>
    <t>composition_uppercase_00146</t>
  </si>
  <si>
    <t>Inabaknon</t>
  </si>
  <si>
    <t>inabaknon</t>
  </si>
  <si>
    <t>composition_uppercase_00147</t>
  </si>
  <si>
    <t>Re</t>
  </si>
  <si>
    <t>re</t>
  </si>
  <si>
    <t>composition_uppercase_00148</t>
  </si>
  <si>
    <t>Ezra</t>
  </si>
  <si>
    <t>ezra</t>
  </si>
  <si>
    <t>composition_uppercase_00149</t>
  </si>
  <si>
    <t>Hail!</t>
  </si>
  <si>
    <t>hail!</t>
  </si>
  <si>
    <t>composition_uppercase_00150</t>
  </si>
  <si>
    <t>Leyte</t>
  </si>
  <si>
    <t>leyte</t>
  </si>
  <si>
    <t>composition_uppercase_00151</t>
  </si>
  <si>
    <t>Egyptian</t>
  </si>
  <si>
    <t>egyptian</t>
  </si>
  <si>
    <t>composition_uppercase_00152</t>
  </si>
  <si>
    <t>Sicily</t>
  </si>
  <si>
    <t>sicily</t>
  </si>
  <si>
    <t>composition_uppercase_00153</t>
  </si>
  <si>
    <t>Orestes</t>
  </si>
  <si>
    <t>orestes</t>
  </si>
  <si>
    <t>composition_uppercase_00154</t>
  </si>
  <si>
    <t>del Pilar</t>
  </si>
  <si>
    <t>del pilar</t>
  </si>
  <si>
    <t>composition_uppercase_00155</t>
  </si>
  <si>
    <t>Iloko</t>
  </si>
  <si>
    <t>iloko</t>
  </si>
  <si>
    <t>composition_uppercase_00156</t>
  </si>
  <si>
    <t>Cain</t>
  </si>
  <si>
    <t>cain</t>
  </si>
  <si>
    <t>composition_uppercase_00157</t>
  </si>
  <si>
    <t>Dresden</t>
  </si>
  <si>
    <t>dresden</t>
  </si>
  <si>
    <t>composition_uppercase_00158</t>
  </si>
  <si>
    <t>Bira-an</t>
  </si>
  <si>
    <t>bira-an</t>
  </si>
  <si>
    <t>composition_uppercase_00159</t>
  </si>
  <si>
    <t>Kristiyano</t>
  </si>
  <si>
    <t>kristiyano</t>
  </si>
  <si>
    <t>composition_uppercase_00160</t>
  </si>
  <si>
    <t>Stilton</t>
  </si>
  <si>
    <t>stilton</t>
  </si>
  <si>
    <t>composition_uppercase_00161</t>
  </si>
  <si>
    <t>Putang ina!</t>
  </si>
  <si>
    <t>putang ina!</t>
  </si>
  <si>
    <t>composition_uppercase_00162</t>
  </si>
  <si>
    <t>Taurus</t>
  </si>
  <si>
    <t>taurus</t>
  </si>
  <si>
    <t>composition_uppercase_00163</t>
  </si>
  <si>
    <t>Ibarra</t>
  </si>
  <si>
    <t>ibarra</t>
  </si>
  <si>
    <t>composition_uppercase_00164</t>
  </si>
  <si>
    <t>Gorgon</t>
  </si>
  <si>
    <t>gorgon</t>
  </si>
  <si>
    <t>composition_uppercase_00165</t>
  </si>
  <si>
    <t>Kanser</t>
  </si>
  <si>
    <t>kanser</t>
  </si>
  <si>
    <t>composition_uppercase_00166</t>
  </si>
  <si>
    <t>Pasay</t>
  </si>
  <si>
    <t>pasay</t>
  </si>
  <si>
    <t>composition_uppercase_00167</t>
  </si>
  <si>
    <t>Intendente</t>
  </si>
  <si>
    <t>intendente</t>
  </si>
  <si>
    <t>composition_uppercase_00168</t>
  </si>
  <si>
    <t>Maharnilad</t>
  </si>
  <si>
    <t>maharnilad</t>
  </si>
  <si>
    <t>composition_uppercase_00169</t>
  </si>
  <si>
    <t>Araw ng Kasarinlan</t>
  </si>
  <si>
    <t>araw ng kasarinlan</t>
  </si>
  <si>
    <t>composition_uppercase_00170</t>
  </si>
  <si>
    <t>Bulkan Iraya</t>
  </si>
  <si>
    <t>bulkan iraya</t>
  </si>
  <si>
    <t>composition_uppercase_00171</t>
  </si>
  <si>
    <t>La Trinidad</t>
  </si>
  <si>
    <t>la trinidad</t>
  </si>
  <si>
    <t>composition_uppercase_00172</t>
  </si>
  <si>
    <t>POW</t>
  </si>
  <si>
    <t>pow</t>
  </si>
  <si>
    <t>composition_uppercase_00173</t>
  </si>
  <si>
    <t>Venus de Milo</t>
  </si>
  <si>
    <t>venus de milo</t>
  </si>
  <si>
    <t>composition_uppercase_00174</t>
  </si>
  <si>
    <t>Talang Batugan</t>
  </si>
  <si>
    <t>talang batugan</t>
  </si>
  <si>
    <t>composition_uppercase_00175</t>
  </si>
  <si>
    <t>Bundok Arayat</t>
  </si>
  <si>
    <t>bundok arayat</t>
  </si>
  <si>
    <t>composition_uppercase_00176</t>
  </si>
  <si>
    <t>Milky Way</t>
  </si>
  <si>
    <t>milky way</t>
  </si>
  <si>
    <t>composition_uppercase_00177</t>
  </si>
  <si>
    <t>Tala sa Timog</t>
  </si>
  <si>
    <t>tala sa timog</t>
  </si>
  <si>
    <t>composition_uppercase_00178</t>
  </si>
  <si>
    <t>SB</t>
  </si>
  <si>
    <t>sb</t>
  </si>
  <si>
    <t>composition_uppercase_00179</t>
  </si>
  <si>
    <t>AWOL</t>
  </si>
  <si>
    <t>awol</t>
  </si>
  <si>
    <t>composition_uppercase_00180</t>
  </si>
  <si>
    <t>Middle East</t>
  </si>
  <si>
    <t>middle east</t>
  </si>
  <si>
    <t>composition_uppercase_00181</t>
  </si>
  <si>
    <t>Great Britain</t>
  </si>
  <si>
    <t>great britain</t>
  </si>
  <si>
    <t>composition_uppercase_00182</t>
  </si>
  <si>
    <t>Antarctic Ocean</t>
  </si>
  <si>
    <t>antarctic ocean</t>
  </si>
  <si>
    <t>composition_uppercase_00183</t>
  </si>
  <si>
    <t>CIA</t>
  </si>
  <si>
    <t>cia</t>
  </si>
  <si>
    <t>composition_uppercase_00184</t>
  </si>
  <si>
    <t>Dagat Caribbean</t>
  </si>
  <si>
    <t>dagat caribbean</t>
  </si>
  <si>
    <t>composition_uppercase_00185</t>
  </si>
  <si>
    <t>cpu</t>
  </si>
  <si>
    <t>composition_uppercase_00186</t>
  </si>
  <si>
    <t>White House</t>
  </si>
  <si>
    <t>white house</t>
  </si>
  <si>
    <t>composition_uppercase_00187</t>
  </si>
  <si>
    <t>Holy Thursday</t>
  </si>
  <si>
    <t>holy thursday</t>
  </si>
  <si>
    <t>composition_uppercase_00188</t>
  </si>
  <si>
    <t>New Criticism</t>
  </si>
  <si>
    <t>new criticism</t>
  </si>
  <si>
    <t>composition_uppercase_00189</t>
  </si>
  <si>
    <t>United Nations Children’s Fund</t>
  </si>
  <si>
    <t>united nations children’s fund</t>
  </si>
  <si>
    <t>composition_uppercase_00190</t>
  </si>
  <si>
    <t>Star of David</t>
  </si>
  <si>
    <t>star of david</t>
  </si>
  <si>
    <t>composition_uppercase_00191</t>
  </si>
  <si>
    <t>Proxima Centauri</t>
  </si>
  <si>
    <t>proxima centauri</t>
  </si>
  <si>
    <t>composition_uppercase_00192</t>
  </si>
  <si>
    <t>Church of England</t>
  </si>
  <si>
    <t>church of england</t>
  </si>
  <si>
    <t>composition_uppercase_00193</t>
  </si>
  <si>
    <t>Caribbean Sea</t>
  </si>
  <si>
    <t>caribbean sea</t>
  </si>
  <si>
    <t>composition_uppercase_00194</t>
  </si>
  <si>
    <t>International Monetary Fund</t>
  </si>
  <si>
    <t>international monetary fund</t>
  </si>
  <si>
    <t>composition_uppercase_00195</t>
  </si>
  <si>
    <t>Dagat China</t>
  </si>
  <si>
    <t>dagat china</t>
  </si>
  <si>
    <t>composition_uppercase_00196</t>
  </si>
  <si>
    <t>VD</t>
  </si>
  <si>
    <t>vd</t>
  </si>
  <si>
    <t>composition_uppercase_00197</t>
  </si>
  <si>
    <t>Opus Dei</t>
  </si>
  <si>
    <t>opus dei</t>
  </si>
  <si>
    <t>composition_uppercase_00198</t>
  </si>
  <si>
    <t>ASEAN</t>
  </si>
  <si>
    <t>asean</t>
  </si>
  <si>
    <t>composition_uppercase_00199</t>
  </si>
  <si>
    <t>Mediterranean Sea</t>
  </si>
  <si>
    <t>mediterranean sea</t>
  </si>
  <si>
    <t>composition_uppercase_00200</t>
  </si>
  <si>
    <t>Kumbensiyong Tejeros</t>
  </si>
  <si>
    <t>kumbensiyong tejeros</t>
  </si>
  <si>
    <t>composition_uppercase_00201</t>
  </si>
  <si>
    <t>Republikang Malolos</t>
  </si>
  <si>
    <t>republikang malolos</t>
  </si>
  <si>
    <t>composition_uppercase_00202</t>
  </si>
  <si>
    <t>Sexually Transmitted Disease</t>
  </si>
  <si>
    <t>sexually transmitted disease</t>
  </si>
  <si>
    <t>composition_uppercase_00203</t>
  </si>
  <si>
    <t>Prisoner of War</t>
  </si>
  <si>
    <t>prisoner of war</t>
  </si>
  <si>
    <t>composition_uppercase_00204</t>
  </si>
  <si>
    <t>Pitong Wika</t>
  </si>
  <si>
    <t>pitong wika</t>
  </si>
  <si>
    <t>composition_uppercase_00205</t>
  </si>
  <si>
    <t>UNIDO</t>
  </si>
  <si>
    <t>unido</t>
  </si>
  <si>
    <t>composition_uppercase_00206</t>
  </si>
  <si>
    <t>Union of Soviet Socialist Republics</t>
  </si>
  <si>
    <t>union of soviet socialist republics</t>
  </si>
  <si>
    <t>composition_uppercase_00207</t>
  </si>
  <si>
    <t>Maria Makiling</t>
  </si>
  <si>
    <t>maria makiling</t>
  </si>
  <si>
    <t>composition_uppercase_00208</t>
  </si>
  <si>
    <t>Banal na Espiritu</t>
  </si>
  <si>
    <t>banal na espiritu</t>
  </si>
  <si>
    <t>composition_uppercase_00209</t>
  </si>
  <si>
    <t>Doctor of Laws</t>
  </si>
  <si>
    <t>doctor of laws</t>
  </si>
  <si>
    <t>composition_uppercase_00210</t>
  </si>
  <si>
    <t>Para! Pdd</t>
  </si>
  <si>
    <t>para! pdd</t>
  </si>
  <si>
    <t>composition_uppercase_00211</t>
  </si>
  <si>
    <t>TKO</t>
  </si>
  <si>
    <t>tko</t>
  </si>
  <si>
    <t>composition_uppercase_00212</t>
  </si>
  <si>
    <t>Gitnang Cordillera</t>
  </si>
  <si>
    <t>gitnang cordillera</t>
  </si>
  <si>
    <t>composition_uppercase_00213</t>
  </si>
  <si>
    <t>Tau’t Batu</t>
  </si>
  <si>
    <t>tau’t batu</t>
  </si>
  <si>
    <t>composition_uppercase_00214</t>
  </si>
  <si>
    <t>MD</t>
  </si>
  <si>
    <t>md</t>
  </si>
  <si>
    <t>composition_uppercase_00215</t>
  </si>
  <si>
    <t>Ikatlong Daigdig</t>
  </si>
  <si>
    <t>ikatlong daigdig</t>
  </si>
  <si>
    <t>composition_uppercase_00216</t>
  </si>
  <si>
    <t>Pater Noster</t>
  </si>
  <si>
    <t>pater noster</t>
  </si>
  <si>
    <t>composition_uppercase_00217</t>
  </si>
  <si>
    <t>Save Our Souls</t>
  </si>
  <si>
    <t>save our souls</t>
  </si>
  <si>
    <t>composition_uppercase_00218</t>
  </si>
  <si>
    <t>PLO</t>
  </si>
  <si>
    <t>plo</t>
  </si>
  <si>
    <t>composition_uppercase_00219</t>
  </si>
  <si>
    <t>IRRI</t>
  </si>
  <si>
    <t>irri</t>
  </si>
  <si>
    <t>composition_uppercase_00220</t>
  </si>
  <si>
    <t>Mga Kronika</t>
  </si>
  <si>
    <t>mga kronika</t>
  </si>
  <si>
    <t>composition_uppercase_00221</t>
  </si>
  <si>
    <t>MIPS</t>
  </si>
  <si>
    <t>mips</t>
  </si>
  <si>
    <t>composition_uppercase_00222</t>
  </si>
  <si>
    <t>Ilog Ionian</t>
  </si>
  <si>
    <t>ilog ionian</t>
  </si>
  <si>
    <t>composition_uppercase_00223</t>
  </si>
  <si>
    <t>Ines Kannoyan</t>
  </si>
  <si>
    <t>ines kannoyan</t>
  </si>
  <si>
    <t>composition_uppercase_00224</t>
  </si>
  <si>
    <t>Irish Republican Army</t>
  </si>
  <si>
    <t>irish republican army</t>
  </si>
  <si>
    <t>composition_uppercase_00225</t>
  </si>
  <si>
    <t>Judgment Day</t>
  </si>
  <si>
    <t>judgment day</t>
  </si>
  <si>
    <t>composition_uppercase_00226</t>
  </si>
  <si>
    <t>Donya Victorina</t>
  </si>
  <si>
    <t>donya victorina</t>
  </si>
  <si>
    <t>composition_uppercase_00227</t>
  </si>
  <si>
    <t>Flores de Mayo</t>
  </si>
  <si>
    <t>flores de mayo</t>
  </si>
  <si>
    <t>composition_uppercase_00228</t>
  </si>
  <si>
    <t>Todos los Santos</t>
  </si>
  <si>
    <t>todos los santos</t>
  </si>
  <si>
    <t>composition_uppercase_00229</t>
  </si>
  <si>
    <t>PGA</t>
  </si>
  <si>
    <t>pga</t>
  </si>
  <si>
    <t>composition_uppercase_00230</t>
  </si>
  <si>
    <t>SRO</t>
  </si>
  <si>
    <t>sro</t>
  </si>
  <si>
    <t>composition_uppercase_00231</t>
  </si>
  <si>
    <t>D &amp; C</t>
  </si>
  <si>
    <t>d &amp; c</t>
  </si>
  <si>
    <t>composition_uppercase_00232</t>
  </si>
  <si>
    <t>UNEP</t>
  </si>
  <si>
    <t>unep</t>
  </si>
  <si>
    <t>composition_uppercase_00233</t>
  </si>
  <si>
    <t>UNFPA</t>
  </si>
  <si>
    <t>unfpa</t>
  </si>
  <si>
    <t>composition_uppercase_00234</t>
  </si>
  <si>
    <t>Song of Solomon</t>
  </si>
  <si>
    <t>song of solomon</t>
  </si>
  <si>
    <t>composition_uppercase_00235</t>
  </si>
  <si>
    <t>Sturm und Drang</t>
  </si>
  <si>
    <t>sturm und drang</t>
  </si>
  <si>
    <t>composition_uppercase_00236</t>
  </si>
  <si>
    <t>Ilog Jordan</t>
  </si>
  <si>
    <t>ilog jordan</t>
  </si>
  <si>
    <t>composition_uppercase_00237</t>
  </si>
  <si>
    <t>Central Processing Unit</t>
  </si>
  <si>
    <t>central processing unit</t>
  </si>
  <si>
    <t>composition_uppercase_00238</t>
  </si>
  <si>
    <t>Ursa Minor</t>
  </si>
  <si>
    <t>ursa minor</t>
  </si>
  <si>
    <t>composition_uppercase_00239</t>
  </si>
  <si>
    <t>Dagat Aegean</t>
  </si>
  <si>
    <t>dagat aegean</t>
  </si>
  <si>
    <t>composition_uppercase_00240</t>
  </si>
  <si>
    <t>Camarines Norte</t>
  </si>
  <si>
    <t>camarines norte</t>
  </si>
  <si>
    <t>composition_uppercase_00241</t>
  </si>
  <si>
    <t>MB</t>
  </si>
  <si>
    <t>mb</t>
  </si>
  <si>
    <t>composition_uppercase_00242</t>
  </si>
  <si>
    <t>Don Tiburcio de Espadaña</t>
  </si>
  <si>
    <t>don tiburcio de espadaña</t>
  </si>
  <si>
    <t>composition_uppercase_00243</t>
  </si>
  <si>
    <t>Padre Salvi</t>
  </si>
  <si>
    <t>padre salvi</t>
  </si>
  <si>
    <t>composition_uppercase_00244</t>
  </si>
  <si>
    <t>Death March</t>
  </si>
  <si>
    <t>death march</t>
  </si>
  <si>
    <t>composition_uppercase_00245</t>
  </si>
  <si>
    <t>Agusan del Norte</t>
  </si>
  <si>
    <t>agusan del norte</t>
  </si>
  <si>
    <t>composition_uppercase_00246</t>
  </si>
  <si>
    <t>Lallang ni Iwak</t>
  </si>
  <si>
    <t>lallang ni iwak</t>
  </si>
  <si>
    <t>composition_uppercase_00247</t>
  </si>
  <si>
    <t>Birheng Maria</t>
  </si>
  <si>
    <t>birheng maria</t>
  </si>
  <si>
    <t>composition_uppercase_00248</t>
  </si>
  <si>
    <t>Glorya Patri</t>
  </si>
  <si>
    <t>glorya patri</t>
  </si>
  <si>
    <t>composition_uppercase_00249</t>
  </si>
  <si>
    <t>Autonomous Region in Muslim Mindanao</t>
  </si>
  <si>
    <t>autonomous region in muslim mindanao</t>
  </si>
  <si>
    <t>composition_uppercase_00250</t>
  </si>
  <si>
    <t>Dagat Pula</t>
  </si>
  <si>
    <t>dagat pula</t>
  </si>
  <si>
    <t>composition_uppercase_00251</t>
  </si>
  <si>
    <t>Anti-Cristo</t>
  </si>
  <si>
    <t>anti-cristo</t>
  </si>
  <si>
    <t>composition_uppercase_00252</t>
  </si>
  <si>
    <t>Acta de Tejeros</t>
  </si>
  <si>
    <t>acta de tejeros</t>
  </si>
  <si>
    <t>composition_uppercase_00253</t>
  </si>
  <si>
    <t>Mater Dolorosa</t>
  </si>
  <si>
    <t>mater dolorosa</t>
  </si>
  <si>
    <t>composition_uppercase_00254</t>
  </si>
  <si>
    <t>Pasong Tirad</t>
  </si>
  <si>
    <t>pasong tirad</t>
  </si>
  <si>
    <t>composition_uppercase_00255</t>
  </si>
  <si>
    <t>Kabesang Tales</t>
  </si>
  <si>
    <t>kabesang tales</t>
  </si>
  <si>
    <t>composition_uppercase_00256</t>
  </si>
  <si>
    <t>Mariang Alimango</t>
  </si>
  <si>
    <t>mariang alimango</t>
  </si>
  <si>
    <t>composition_uppercase_00257</t>
  </si>
  <si>
    <t>Media Noche</t>
  </si>
  <si>
    <t>media noche</t>
  </si>
  <si>
    <t>composition_uppercase_00258</t>
  </si>
  <si>
    <t>Mga Taga-Colosas</t>
  </si>
  <si>
    <t>mga taga-colosas</t>
  </si>
  <si>
    <t>composition_uppercase_00259</t>
  </si>
  <si>
    <t>Buling-Buling</t>
  </si>
  <si>
    <t>buling-buling</t>
  </si>
  <si>
    <t>composition_uppercase_00260</t>
  </si>
  <si>
    <t>United Nations</t>
  </si>
  <si>
    <t>united nations</t>
  </si>
  <si>
    <t>composition_uppercase_00261</t>
  </si>
  <si>
    <t>Ali Adab</t>
  </si>
  <si>
    <t>ali adab</t>
  </si>
  <si>
    <t>composition_uppercase_00262</t>
  </si>
  <si>
    <t>Awit ng mga Awit</t>
  </si>
  <si>
    <t>awit ng mga awit</t>
  </si>
  <si>
    <t>composition_uppercase_00263</t>
  </si>
  <si>
    <t>OK</t>
  </si>
  <si>
    <t>composition_uppercase_00264</t>
  </si>
  <si>
    <t>JCL</t>
  </si>
  <si>
    <t>jcl</t>
  </si>
  <si>
    <t>composition_uppercase_00265</t>
  </si>
  <si>
    <t>MV</t>
  </si>
  <si>
    <t>mv</t>
  </si>
  <si>
    <t>composition_uppercase_00266</t>
  </si>
  <si>
    <t>El Niño</t>
  </si>
  <si>
    <t>el niño</t>
  </si>
  <si>
    <t>composition_uppercase_00267</t>
  </si>
  <si>
    <t>Holy City</t>
  </si>
  <si>
    <t>holy city</t>
  </si>
  <si>
    <t>subcategory2</t>
  </si>
  <si>
    <t>word_x</t>
  </si>
  <si>
    <t>character_counting</t>
  </si>
  <si>
    <t>regular</t>
  </si>
  <si>
    <t>How many letters are in the word \"gabi-gabi\"?</t>
  </si>
  <si>
    <t>Ilang titik mayroon ang salitang \"gabi-gabi\"?</t>
  </si>
  <si>
    <t>gabi-gabi</t>
  </si>
  <si>
    <t>nagsipagwasiwas</t>
  </si>
  <si>
    <t>niliguyan</t>
  </si>
  <si>
    <t>pakikihithit</t>
  </si>
  <si>
    <t>tigdalawa</t>
  </si>
  <si>
    <t>magkandalanta-lanta</t>
  </si>
  <si>
    <t>nakakapanrahuyo</t>
  </si>
  <si>
    <t>nakupitan</t>
  </si>
  <si>
    <t>labintatlo</t>
  </si>
  <si>
    <t>katwiran</t>
  </si>
  <si>
    <t>talaarawan</t>
  </si>
  <si>
    <t>kakakain</t>
  </si>
  <si>
    <t>kabababa</t>
  </si>
  <si>
    <t>kasasaing</t>
  </si>
  <si>
    <t>kasasampay</t>
  </si>
  <si>
    <t>kalalakad</t>
  </si>
  <si>
    <t>kaaalis</t>
  </si>
  <si>
    <t>kauuwi</t>
  </si>
  <si>
    <t>sila-sila</t>
  </si>
  <si>
    <t>kaniya-kaniya</t>
  </si>
  <si>
    <t>nilooban</t>
  </si>
  <si>
    <t>makipag-iyakan</t>
  </si>
  <si>
    <t>nagkauban</t>
  </si>
  <si>
    <t>napakamanhid</t>
  </si>
  <si>
    <t>nakikisimba</t>
  </si>
  <si>
    <t>nagkandaugaga</t>
  </si>
  <si>
    <t>makakapaghabi</t>
  </si>
  <si>
    <t>pamamagitan</t>
  </si>
  <si>
    <t>ipaglaban</t>
  </si>
  <si>
    <t>nakipag-away</t>
  </si>
  <si>
    <t>makisubaybay</t>
  </si>
  <si>
    <t>may-akda</t>
  </si>
  <si>
    <t>tag-ulan</t>
  </si>
  <si>
    <t>santinakpan</t>
  </si>
  <si>
    <t>nagpakabobo</t>
  </si>
  <si>
    <t>de-susi</t>
  </si>
  <si>
    <t>gatuldok</t>
  </si>
  <si>
    <t>tindera</t>
  </si>
  <si>
    <t>tagapanatili</t>
  </si>
  <si>
    <t>magsisipagsali</t>
  </si>
  <si>
    <t>napaglipasan</t>
  </si>
  <si>
    <t>pag-abiso</t>
  </si>
  <si>
    <t>mapagtampo</t>
  </si>
  <si>
    <t>simbigo</t>
  </si>
  <si>
    <t>nagsitayo</t>
  </si>
  <si>
    <t>bulate</t>
  </si>
  <si>
    <t>pinakadetalyado</t>
  </si>
  <si>
    <t>pambubusabos</t>
  </si>
  <si>
    <t>magpapasahod</t>
  </si>
  <si>
    <t>paruparo</t>
  </si>
  <si>
    <t>ng_aware</t>
  </si>
  <si>
    <t>napagsang-ayunan</t>
  </si>
  <si>
    <t>magsisidating</t>
  </si>
  <si>
    <t>nagpang-abot</t>
  </si>
  <si>
    <t>magmagaling</t>
  </si>
  <si>
    <t>ipagising</t>
  </si>
  <si>
    <t>makapanghumaling</t>
  </si>
  <si>
    <t>pakisungkit</t>
  </si>
  <si>
    <t>pakikitungo</t>
  </si>
  <si>
    <t>itinuring</t>
  </si>
  <si>
    <t>magpakapanganay</t>
  </si>
  <si>
    <t>ikawiwindang</t>
  </si>
  <si>
    <t>palutang-lutang</t>
  </si>
  <si>
    <t>katatalukbong</t>
  </si>
  <si>
    <t>paglibangan</t>
  </si>
  <si>
    <t>mabango-bango</t>
  </si>
  <si>
    <t>binagoongan</t>
  </si>
  <si>
    <t>pinagtangkaan</t>
  </si>
  <si>
    <t>mayayabang</t>
  </si>
  <si>
    <t>pabangunin</t>
  </si>
  <si>
    <t>mararangal</t>
  </si>
  <si>
    <t>mapang-imbot</t>
  </si>
  <si>
    <t>magbarangan</t>
  </si>
  <si>
    <t>bingga</t>
  </si>
  <si>
    <t>ungkay</t>
  </si>
  <si>
    <t>tungo</t>
  </si>
  <si>
    <t>paling</t>
  </si>
  <si>
    <t>bolang</t>
  </si>
  <si>
    <t>bilang</t>
  </si>
  <si>
    <t>naging</t>
  </si>
  <si>
    <t>tabing</t>
  </si>
  <si>
    <t>kalinga</t>
  </si>
  <si>
    <t>balang</t>
  </si>
  <si>
    <t>hibang</t>
  </si>
  <si>
    <t>dating</t>
  </si>
  <si>
    <t>pangutana</t>
  </si>
  <si>
    <t>ilang</t>
  </si>
  <si>
    <t>anibong</t>
  </si>
  <si>
    <t>manyayango</t>
  </si>
  <si>
    <t>kasangkapan</t>
  </si>
  <si>
    <t>hangin</t>
  </si>
  <si>
    <t>turong</t>
  </si>
  <si>
    <t>silangan</t>
  </si>
  <si>
    <t>pangulo</t>
  </si>
  <si>
    <t>parang</t>
  </si>
  <si>
    <t>gong-ay</t>
  </si>
  <si>
    <t>mangyari</t>
  </si>
  <si>
    <t>habang</t>
  </si>
  <si>
    <t>tandang</t>
  </si>
  <si>
    <t>ungol</t>
  </si>
  <si>
    <t>position_english</t>
  </si>
  <si>
    <t>position</t>
  </si>
  <si>
    <t>character_recognition</t>
  </si>
  <si>
    <t>What is the 6th letter of the word \"ampunin\"'?</t>
  </si>
  <si>
    <t>Ano ang ika-6 na titik ng salitang \"ampunin\"?</t>
  </si>
  <si>
    <t>i</t>
  </si>
  <si>
    <t>composition_character_recognition_00000</t>
  </si>
  <si>
    <t>ampunin</t>
  </si>
  <si>
    <t>6th</t>
  </si>
  <si>
    <t>composition_character_recognition_00001</t>
  </si>
  <si>
    <t>isasaisip</t>
  </si>
  <si>
    <t>1st</t>
  </si>
  <si>
    <t>a</t>
  </si>
  <si>
    <t>composition_character_recognition_00002</t>
  </si>
  <si>
    <t>nakikipag-iyutan</t>
  </si>
  <si>
    <t>2nd</t>
  </si>
  <si>
    <t>t</t>
  </si>
  <si>
    <t>composition_character_recognition_00003</t>
  </si>
  <si>
    <t>kauulit</t>
  </si>
  <si>
    <t>7th</t>
  </si>
  <si>
    <t>u</t>
  </si>
  <si>
    <t>composition_character_recognition_00004</t>
  </si>
  <si>
    <t>umapaw</t>
  </si>
  <si>
    <t>n</t>
  </si>
  <si>
    <t>composition_character_recognition_00005</t>
  </si>
  <si>
    <t>inulyawan</t>
  </si>
  <si>
    <t>9th</t>
  </si>
  <si>
    <t>p</t>
  </si>
  <si>
    <t>composition_character_recognition_00006</t>
  </si>
  <si>
    <t>napakaulyanin</t>
  </si>
  <si>
    <t>3rd</t>
  </si>
  <si>
    <t>g</t>
  </si>
  <si>
    <t>composition_character_recognition_00007</t>
  </si>
  <si>
    <t>pag-ibayuhin</t>
  </si>
  <si>
    <t>composition_character_recognition_00008</t>
  </si>
  <si>
    <t>alayan</t>
  </si>
  <si>
    <t>composition_character_recognition_00009</t>
  </si>
  <si>
    <t>nakakausap</t>
  </si>
  <si>
    <t>10th</t>
  </si>
  <si>
    <t>composition_character_recognition_00010</t>
  </si>
  <si>
    <t>nakapagpatutsada</t>
  </si>
  <si>
    <t>l</t>
  </si>
  <si>
    <t>composition_character_recognition_00011</t>
  </si>
  <si>
    <t>maalalahanin</t>
  </si>
  <si>
    <t>4th</t>
  </si>
  <si>
    <t>composition_character_recognition_00012</t>
  </si>
  <si>
    <t>baligtad</t>
  </si>
  <si>
    <t>5th</t>
  </si>
  <si>
    <t>composition_character_recognition_00013</t>
  </si>
  <si>
    <t>di-sadya</t>
  </si>
  <si>
    <t>composition_character_recognition_00014</t>
  </si>
  <si>
    <t>composition_character_recognition_00015</t>
  </si>
  <si>
    <t>composition_character_recognition_00016</t>
  </si>
  <si>
    <t>s</t>
  </si>
  <si>
    <t>composition_character_recognition_00017</t>
  </si>
  <si>
    <t>composition_character_recognition_00018</t>
  </si>
  <si>
    <t>composition_character_recognition_00019</t>
  </si>
  <si>
    <t>composition_character_recognition_00020</t>
  </si>
  <si>
    <t>e</t>
  </si>
  <si>
    <t>composition_character_recognition_00021</t>
  </si>
  <si>
    <t>composition_character_recognition_00022</t>
  </si>
  <si>
    <t>composition_character_recognition_00023</t>
  </si>
  <si>
    <t>8th</t>
  </si>
  <si>
    <t>h</t>
  </si>
  <si>
    <t>composition_character_recognition_00024</t>
  </si>
  <si>
    <t>composition_character_recognition_00025</t>
  </si>
  <si>
    <t>b</t>
  </si>
  <si>
    <t>composition_character_recognition_00026</t>
  </si>
  <si>
    <t>mambubukid</t>
  </si>
  <si>
    <t>composition_character_recognition_00027</t>
  </si>
  <si>
    <t>nakaalam</t>
  </si>
  <si>
    <t>composition_character_recognition_00028</t>
  </si>
  <si>
    <t>kasintotoo</t>
  </si>
  <si>
    <t>composition_character_recognition_00029</t>
  </si>
  <si>
    <t>pagawaan</t>
  </si>
  <si>
    <t>composition_character_recognition_00030</t>
  </si>
  <si>
    <t>nagsakayan</t>
  </si>
  <si>
    <t>composition_character_recognition_00031</t>
  </si>
  <si>
    <t>mapasunod-sunod</t>
  </si>
  <si>
    <t>11th</t>
  </si>
  <si>
    <t>d</t>
  </si>
  <si>
    <t>composition_character_recognition_00032</t>
  </si>
  <si>
    <t>magmasid-masid</t>
  </si>
  <si>
    <t>composition_character_recognition_00033</t>
  </si>
  <si>
    <t>makikipagdaldalan</t>
  </si>
  <si>
    <t>13th</t>
  </si>
  <si>
    <t>composition_character_recognition_00034</t>
  </si>
  <si>
    <t>ratsadera</t>
  </si>
  <si>
    <t>composition_character_recognition_00035</t>
  </si>
  <si>
    <t>bahay-bahayan</t>
  </si>
  <si>
    <t>12th</t>
  </si>
  <si>
    <t>composition_character_recognition_00036</t>
  </si>
  <si>
    <t>nagpapayat</t>
  </si>
  <si>
    <t>composition_character_recognition_00037</t>
  </si>
  <si>
    <t>tagapag-ihaw</t>
  </si>
  <si>
    <t>composition_character_recognition_00038</t>
  </si>
  <si>
    <t>paunlarin</t>
  </si>
  <si>
    <t>composition_character_recognition_00039</t>
  </si>
  <si>
    <t>nahimok</t>
  </si>
  <si>
    <t>composition_character_recognition_00040</t>
  </si>
  <si>
    <t>makakapilit</t>
  </si>
  <si>
    <t>composition_character_recognition_00041</t>
  </si>
  <si>
    <t>ipandadaig</t>
  </si>
  <si>
    <t>composition_character_recognition_00042</t>
  </si>
  <si>
    <t>napadalas</t>
  </si>
  <si>
    <t>composition_character_recognition_00043</t>
  </si>
  <si>
    <t>maalindugan</t>
  </si>
  <si>
    <t>w</t>
  </si>
  <si>
    <t>composition_character_recognition_00044</t>
  </si>
  <si>
    <t>naguguwapuhan</t>
  </si>
  <si>
    <t>composition_character_recognition_00045</t>
  </si>
  <si>
    <t>pagkatakaw</t>
  </si>
  <si>
    <t>composition_character_recognition_00046</t>
  </si>
  <si>
    <t>nagselan</t>
  </si>
  <si>
    <t>composition_character_recognition_00047</t>
  </si>
  <si>
    <t>makarami</t>
  </si>
  <si>
    <t>composition_character_recognition_00048</t>
  </si>
  <si>
    <t>giginhawa</t>
  </si>
  <si>
    <t>composition_character_recognition_00049</t>
  </si>
  <si>
    <t>hardin</t>
  </si>
  <si>
    <t>composition_character_recognition_00050</t>
  </si>
  <si>
    <t>galing</t>
  </si>
  <si>
    <t>composition_character_recognition_00051</t>
  </si>
  <si>
    <t>composition_character_recognition_00052</t>
  </si>
  <si>
    <t>composition_character_recognition_00053</t>
  </si>
  <si>
    <t>kanyang</t>
  </si>
  <si>
    <t>composition_character_recognition_00054</t>
  </si>
  <si>
    <t>bunga</t>
  </si>
  <si>
    <t>composition_character_recognition_00055</t>
  </si>
  <si>
    <t>tungkol</t>
  </si>
  <si>
    <t>composition_character_recognition_00056</t>
  </si>
  <si>
    <t>taong</t>
  </si>
  <si>
    <t>composition_character_recognition_00057</t>
  </si>
  <si>
    <t>composition_character_recognition_00058</t>
  </si>
  <si>
    <t>composition_character_recognition_00059</t>
  </si>
  <si>
    <t>upang</t>
  </si>
  <si>
    <t>composition_character_recognition_00060</t>
  </si>
  <si>
    <t>composition_character_recognition_00061</t>
  </si>
  <si>
    <t>composition_character_recognition_00062</t>
  </si>
  <si>
    <t>nagiging</t>
  </si>
  <si>
    <t>composition_character_recognition_00063</t>
  </si>
  <si>
    <t>composition_character_recognition_00064</t>
  </si>
  <si>
    <t>muling</t>
  </si>
  <si>
    <t>composition_character_recognition_00065</t>
  </si>
  <si>
    <t>composition_character_recognition_00066</t>
  </si>
  <si>
    <t>sangkap</t>
  </si>
  <si>
    <t>composition_character_recognition_00067</t>
  </si>
  <si>
    <t>composition_character_recognition_00068</t>
  </si>
  <si>
    <t>takdang</t>
  </si>
  <si>
    <t>composition_character_recognition_00069</t>
  </si>
  <si>
    <t>siyang</t>
  </si>
  <si>
    <t>composition_character_recognition_00070</t>
  </si>
  <si>
    <t>silang</t>
  </si>
  <si>
    <t>composition_character_recognition_00071</t>
  </si>
  <si>
    <t>tangway</t>
  </si>
  <si>
    <t>composition_character_recognition_00072</t>
  </si>
  <si>
    <t>batang</t>
  </si>
  <si>
    <t>composition_character_recognition_00073</t>
  </si>
  <si>
    <t>unang</t>
  </si>
  <si>
    <t>composition_character_recognition_00074</t>
  </si>
  <si>
    <t>Ilonggo</t>
  </si>
  <si>
    <t>composition_character_recognition_00075</t>
  </si>
  <si>
    <t>composition_character_recognition_00076</t>
  </si>
  <si>
    <t>composition_character_recognition_00077</t>
  </si>
  <si>
    <t>pangulag</t>
  </si>
  <si>
    <t>composition_character_recognition_00078</t>
  </si>
  <si>
    <t>ulong</t>
  </si>
  <si>
    <t>composition_character_recognition_00079</t>
  </si>
  <si>
    <t>bangko</t>
  </si>
  <si>
    <t>composition_character_recognition_00080</t>
  </si>
  <si>
    <t>tubong</t>
  </si>
  <si>
    <t>composition_character_recognition_00081</t>
  </si>
  <si>
    <t>kahong</t>
  </si>
  <si>
    <t>composition_character_recognition_00082</t>
  </si>
  <si>
    <t>composition_character_recognition_00083</t>
  </si>
  <si>
    <t>dalulong</t>
  </si>
  <si>
    <t>composition_character_recognition_00084</t>
  </si>
  <si>
    <t>maging</t>
  </si>
  <si>
    <t>composition_character_recognition_00085</t>
  </si>
  <si>
    <t>composition_character_recognition_00086</t>
  </si>
  <si>
    <t>composition_character_recognition_00087</t>
  </si>
  <si>
    <t>salagubang</t>
  </si>
  <si>
    <t>composition_character_recognition_00088</t>
  </si>
  <si>
    <t>composition_character_recognition_00089</t>
  </si>
  <si>
    <t>composition_character_recognition_00090</t>
  </si>
  <si>
    <t>tiningkal</t>
  </si>
  <si>
    <t>composition_character_recognition_00091</t>
  </si>
  <si>
    <t>putong</t>
  </si>
  <si>
    <t>composition_character_recognition_00092</t>
  </si>
  <si>
    <t>bing-il</t>
  </si>
  <si>
    <t>composition_character_recognition_00093</t>
  </si>
  <si>
    <t>composition_character_recognition_00094</t>
  </si>
  <si>
    <t>sulang</t>
  </si>
  <si>
    <t>composition_character_recognition_00095</t>
  </si>
  <si>
    <t>limang</t>
  </si>
  <si>
    <t>composition_character_recognition_00096</t>
  </si>
  <si>
    <t>kiling</t>
  </si>
  <si>
    <t>composition_character_recognition_00097</t>
  </si>
  <si>
    <t>kolowong</t>
  </si>
  <si>
    <t>composition_character_recognition_00098</t>
  </si>
  <si>
    <t>langit</t>
  </si>
  <si>
    <t>composition_character_recognition_00099</t>
  </si>
  <si>
    <t>pangkat</t>
  </si>
  <si>
    <t>subcategory3</t>
  </si>
  <si>
    <t>morphological_extraction</t>
  </si>
  <si>
    <t>inflected_affix_extraction</t>
  </si>
  <si>
    <t>partial_assimilation</t>
  </si>
  <si>
    <t>What is the affix used to inflect the word \"mambola\"?</t>
  </si>
  <si>
    <t>Ano ang panlapi na ginamit sa salitang \"mambola\"?</t>
  </si>
  <si>
    <t>full_assimilation</t>
  </si>
  <si>
    <t>phoneme_change</t>
  </si>
  <si>
    <t>regular_inflection</t>
  </si>
  <si>
    <t>phoneme_deletion</t>
  </si>
  <si>
    <t>metathesis</t>
  </si>
  <si>
    <t>infix_suffix</t>
  </si>
  <si>
    <t>metathesis_phoneme_change</t>
  </si>
  <si>
    <t>prefix_infix</t>
  </si>
  <si>
    <t>inflected_root_extraction</t>
  </si>
  <si>
    <t>What is the root word of the inflected word \"mambola\"</t>
  </si>
  <si>
    <t>Ano ang salitang-ugat ng nilapiang salita na \"mambola\"?</t>
  </si>
  <si>
    <t>prefix_suffix</t>
  </si>
  <si>
    <t>root</t>
  </si>
  <si>
    <t>reduplicant</t>
  </si>
  <si>
    <t>redup_type</t>
  </si>
  <si>
    <t>blake_ref</t>
  </si>
  <si>
    <t>partial</t>
  </si>
  <si>
    <t>adjective_pluralizer</t>
  </si>
  <si>
    <t>What is the root word of the word \"mabubuti\"?</t>
  </si>
  <si>
    <t>Ano ang salitang-ugat ng salitang \"mabubuti\"?</t>
  </si>
  <si>
    <t>buti</t>
  </si>
  <si>
    <t>mabubuti</t>
  </si>
  <si>
    <t>bu</t>
  </si>
  <si>
    <t>2a</t>
  </si>
  <si>
    <t>makikisig</t>
  </si>
  <si>
    <t>kisig</t>
  </si>
  <si>
    <t>ki</t>
  </si>
  <si>
    <t>magaganda</t>
  </si>
  <si>
    <t>ga</t>
  </si>
  <si>
    <t>masisipag</t>
  </si>
  <si>
    <t>sipag</t>
  </si>
  <si>
    <t>matatangkad</t>
  </si>
  <si>
    <t>tangkad</t>
  </si>
  <si>
    <t>ta</t>
  </si>
  <si>
    <t>matatalino</t>
  </si>
  <si>
    <t>talino</t>
  </si>
  <si>
    <t>masasarap</t>
  </si>
  <si>
    <t>sarap</t>
  </si>
  <si>
    <t>masisikip</t>
  </si>
  <si>
    <t>sikip</t>
  </si>
  <si>
    <t>maluluwag</t>
  </si>
  <si>
    <t>luwag</t>
  </si>
  <si>
    <t>lu</t>
  </si>
  <si>
    <t>matitingkad</t>
  </si>
  <si>
    <t>tingkad</t>
  </si>
  <si>
    <t>ti</t>
  </si>
  <si>
    <t>mapupusyaw</t>
  </si>
  <si>
    <t>pusyaw</t>
  </si>
  <si>
    <t>pu</t>
  </si>
  <si>
    <t>magkakasinglaki</t>
  </si>
  <si>
    <t>laki</t>
  </si>
  <si>
    <t>adjective_equality</t>
  </si>
  <si>
    <t>2b</t>
  </si>
  <si>
    <t>magkakasinghaba</t>
  </si>
  <si>
    <t>haba</t>
  </si>
  <si>
    <t>magkakasingliit</t>
  </si>
  <si>
    <t>liit</t>
  </si>
  <si>
    <t>magkakasingtangkad</t>
  </si>
  <si>
    <t>magkakasimbigat</t>
  </si>
  <si>
    <t>bigat</t>
  </si>
  <si>
    <t>magkakasindalas</t>
  </si>
  <si>
    <t>dalas</t>
  </si>
  <si>
    <t>magkakasimpayat</t>
  </si>
  <si>
    <t>magkakasintaba</t>
  </si>
  <si>
    <t>taba</t>
  </si>
  <si>
    <t>magkakalaki</t>
  </si>
  <si>
    <t>magkakaliit</t>
  </si>
  <si>
    <t>magkakatulad</t>
  </si>
  <si>
    <t>tulad</t>
  </si>
  <si>
    <t>magkakaiba</t>
  </si>
  <si>
    <t>iba</t>
  </si>
  <si>
    <t>magkakatono</t>
  </si>
  <si>
    <t>tono</t>
  </si>
  <si>
    <t>kakaunti</t>
  </si>
  <si>
    <t>kaunti</t>
  </si>
  <si>
    <t>kaunti_munti</t>
  </si>
  <si>
    <t>2c</t>
  </si>
  <si>
    <t>mumunti</t>
  </si>
  <si>
    <t>munti</t>
  </si>
  <si>
    <t>mu</t>
  </si>
  <si>
    <t>mag-aama</t>
  </si>
  <si>
    <t>ama</t>
  </si>
  <si>
    <t>noun_relationship</t>
  </si>
  <si>
    <t>2d</t>
  </si>
  <si>
    <t>mag-iina</t>
  </si>
  <si>
    <t>ina</t>
  </si>
  <si>
    <t>magkakapatid</t>
  </si>
  <si>
    <t>kapatid</t>
  </si>
  <si>
    <t>magtitito</t>
  </si>
  <si>
    <t>tito</t>
  </si>
  <si>
    <t>magkukuya</t>
  </si>
  <si>
    <t>kuya</t>
  </si>
  <si>
    <t>ku</t>
  </si>
  <si>
    <t>mag-aate</t>
  </si>
  <si>
    <t>ate</t>
  </si>
  <si>
    <t>magtitita</t>
  </si>
  <si>
    <t>tita</t>
  </si>
  <si>
    <t>magnininong</t>
  </si>
  <si>
    <t>ninong</t>
  </si>
  <si>
    <t>magkukumare</t>
  </si>
  <si>
    <t>kumare</t>
  </si>
  <si>
    <t>iisa</t>
  </si>
  <si>
    <t>isa</t>
  </si>
  <si>
    <t>numeral_restrictive</t>
  </si>
  <si>
    <t>2f</t>
  </si>
  <si>
    <t>titigalawa</t>
  </si>
  <si>
    <t>dalawa</t>
  </si>
  <si>
    <t>miminsan</t>
  </si>
  <si>
    <t>minsan</t>
  </si>
  <si>
    <t>mi</t>
  </si>
  <si>
    <t>pipiso</t>
  </si>
  <si>
    <t>piso</t>
  </si>
  <si>
    <t>pi</t>
  </si>
  <si>
    <t>tigte-tres</t>
  </si>
  <si>
    <t>tres</t>
  </si>
  <si>
    <t>te</t>
  </si>
  <si>
    <t>sasampu</t>
  </si>
  <si>
    <t>sampu</t>
  </si>
  <si>
    <t>tetrese</t>
  </si>
  <si>
    <t>trese</t>
  </si>
  <si>
    <t>pupunta</t>
  </si>
  <si>
    <t>verb_time</t>
  </si>
  <si>
    <t>2h</t>
  </si>
  <si>
    <t>kakain</t>
  </si>
  <si>
    <t>sasayaw</t>
  </si>
  <si>
    <t>kakanta</t>
  </si>
  <si>
    <t>aawit</t>
  </si>
  <si>
    <t>susulat</t>
  </si>
  <si>
    <t>su</t>
  </si>
  <si>
    <t>nagwawalis</t>
  </si>
  <si>
    <t>wa</t>
  </si>
  <si>
    <t>aalis</t>
  </si>
  <si>
    <t>tatakbo</t>
  </si>
  <si>
    <t>tumataob</t>
  </si>
  <si>
    <t>taob</t>
  </si>
  <si>
    <t>ninanamnam</t>
  </si>
  <si>
    <t>namnam</t>
  </si>
  <si>
    <t>na</t>
  </si>
  <si>
    <t>kalalaba</t>
  </si>
  <si>
    <t>la</t>
  </si>
  <si>
    <t>verb_just</t>
  </si>
  <si>
    <t>2j</t>
  </si>
  <si>
    <t>baba</t>
  </si>
  <si>
    <t>saing</t>
  </si>
  <si>
    <t>sampay</t>
  </si>
  <si>
    <t>lakad</t>
  </si>
  <si>
    <t>uwi</t>
  </si>
  <si>
    <t>sila</t>
  </si>
  <si>
    <t>full</t>
  </si>
  <si>
    <t>pronoun</t>
  </si>
  <si>
    <t>3.1a</t>
  </si>
  <si>
    <t>kaniya</t>
  </si>
  <si>
    <t>tayo-tayo</t>
  </si>
  <si>
    <t>kami-kami</t>
  </si>
  <si>
    <t>kami</t>
  </si>
  <si>
    <t>kayo-kayo</t>
  </si>
  <si>
    <t>kayo</t>
  </si>
  <si>
    <t>ano-ano</t>
  </si>
  <si>
    <t>ano</t>
  </si>
  <si>
    <t>interrogatives</t>
  </si>
  <si>
    <t>3.1b</t>
  </si>
  <si>
    <t>sino-sino</t>
  </si>
  <si>
    <t>sino</t>
  </si>
  <si>
    <t>saan-saan</t>
  </si>
  <si>
    <t>saan</t>
  </si>
  <si>
    <t>alin-alin</t>
  </si>
  <si>
    <t>alin</t>
  </si>
  <si>
    <t>kaibig-ibig</t>
  </si>
  <si>
    <t>ibig</t>
  </si>
  <si>
    <t>adjective_mind</t>
  </si>
  <si>
    <t>3.1d</t>
  </si>
  <si>
    <t>kasuklam-suklam</t>
  </si>
  <si>
    <t>suklam</t>
  </si>
  <si>
    <t>kasiya-siya</t>
  </si>
  <si>
    <t>siya</t>
  </si>
  <si>
    <t>kagulat-gulat</t>
  </si>
  <si>
    <t>gulat</t>
  </si>
  <si>
    <t>kahiya-hiya</t>
  </si>
  <si>
    <t>hiya</t>
  </si>
  <si>
    <t>magkandasira-sira</t>
  </si>
  <si>
    <t>sira</t>
  </si>
  <si>
    <t>verb_intense</t>
  </si>
  <si>
    <t>3.1g</t>
  </si>
  <si>
    <t>magkandahilo-hilo</t>
  </si>
  <si>
    <t>hilo</t>
  </si>
  <si>
    <t>magkaaway-away</t>
  </si>
  <si>
    <t>away</t>
  </si>
  <si>
    <t>nagkawatak-watak</t>
  </si>
  <si>
    <t>watak</t>
  </si>
  <si>
    <t>mapilas-pilas</t>
  </si>
  <si>
    <t>pilas</t>
  </si>
  <si>
    <t>araw-araw</t>
  </si>
  <si>
    <t>araw</t>
  </si>
  <si>
    <t>noun_every</t>
  </si>
  <si>
    <t>3.2a</t>
  </si>
  <si>
    <t>gabi</t>
  </si>
  <si>
    <t>oras-oras</t>
  </si>
  <si>
    <t>oras</t>
  </si>
  <si>
    <t>linggo-linggo</t>
  </si>
  <si>
    <t>linggo</t>
  </si>
  <si>
    <t>buwan-buwan</t>
  </si>
  <si>
    <t>buwan</t>
  </si>
  <si>
    <t>taon-taon</t>
  </si>
  <si>
    <t>unti-unti</t>
  </si>
  <si>
    <t>unti</t>
  </si>
  <si>
    <t>adverb</t>
  </si>
  <si>
    <t>3.2d</t>
  </si>
  <si>
    <t>sabay-sabay</t>
  </si>
  <si>
    <t>sabay</t>
  </si>
  <si>
    <t>dahan-dahan</t>
  </si>
  <si>
    <t>dahan</t>
  </si>
  <si>
    <t>bigla-bigla</t>
  </si>
  <si>
    <t>bigla</t>
  </si>
  <si>
    <t>maya-maya</t>
  </si>
  <si>
    <t>maya</t>
  </si>
  <si>
    <t>tao-taohan</t>
  </si>
  <si>
    <t>tao</t>
  </si>
  <si>
    <t>noun_diminutive</t>
  </si>
  <si>
    <t>3.3a</t>
  </si>
  <si>
    <t>ari</t>
  </si>
  <si>
    <t>hari-harian</t>
  </si>
  <si>
    <t>hari</t>
  </si>
  <si>
    <t>diyos-diyosan</t>
  </si>
  <si>
    <t>diyos</t>
  </si>
  <si>
    <t>nanay-nanayan</t>
  </si>
  <si>
    <t>nanay</t>
  </si>
  <si>
    <t>anak-anakan</t>
  </si>
  <si>
    <t>tampu-tampuhan</t>
  </si>
  <si>
    <t>tampo</t>
  </si>
  <si>
    <t>none</t>
  </si>
  <si>
    <t>etymological</t>
  </si>
  <si>
    <t>haluhalo</t>
  </si>
  <si>
    <t>pakpak</t>
  </si>
  <si>
    <t>halakhak</t>
  </si>
  <si>
    <t>dagdag</t>
  </si>
  <si>
    <t>bulatlatin</t>
  </si>
  <si>
    <t>bulatlat</t>
  </si>
  <si>
    <t>kilikili</t>
  </si>
  <si>
    <t>kasukasuan</t>
  </si>
  <si>
    <t>babae</t>
  </si>
  <si>
    <t>lalaki</t>
  </si>
  <si>
    <t>lalawigan</t>
  </si>
  <si>
    <t>titik</t>
  </si>
  <si>
    <t>sarsa</t>
  </si>
  <si>
    <t>gakgak</t>
  </si>
  <si>
    <t>luklukan</t>
  </si>
  <si>
    <t>tatak</t>
  </si>
  <si>
    <t>pampang</t>
  </si>
  <si>
    <t>gigi</t>
  </si>
  <si>
    <t>damdamin</t>
  </si>
  <si>
    <t>mismis</t>
  </si>
  <si>
    <t>lilim</t>
  </si>
  <si>
    <t>yikyik</t>
  </si>
  <si>
    <t>bubuyog</t>
  </si>
  <si>
    <t>liblib</t>
  </si>
  <si>
    <t>babalokat</t>
  </si>
  <si>
    <t>lidlid</t>
  </si>
  <si>
    <t>yayat</t>
  </si>
  <si>
    <t>baybay</t>
  </si>
  <si>
    <t>kiki</t>
  </si>
  <si>
    <t>kipkip</t>
  </si>
  <si>
    <t>gaga</t>
  </si>
  <si>
    <t>pipi</t>
  </si>
  <si>
    <t>kitkit</t>
  </si>
  <si>
    <t>satsat</t>
  </si>
  <si>
    <t>in-in</t>
  </si>
  <si>
    <t>saysay</t>
  </si>
  <si>
    <t>mamaso</t>
  </si>
  <si>
    <t>galgal</t>
  </si>
  <si>
    <t>boboto</t>
  </si>
  <si>
    <t>babangan</t>
  </si>
  <si>
    <t>Kankanay</t>
  </si>
  <si>
    <t>tatagan</t>
  </si>
  <si>
    <t>pikpik</t>
  </si>
  <si>
    <t>tata</t>
  </si>
  <si>
    <t>lalakinin</t>
  </si>
  <si>
    <t>witwit</t>
  </si>
  <si>
    <t>as-as</t>
  </si>
  <si>
    <t>kalkal</t>
  </si>
  <si>
    <t>wangwang</t>
  </si>
  <si>
    <t>bagbag</t>
  </si>
  <si>
    <t>hawhaw</t>
  </si>
  <si>
    <t>dibdib</t>
  </si>
  <si>
    <t>papa</t>
  </si>
  <si>
    <t>gagamba</t>
  </si>
  <si>
    <t>tabtaba</t>
  </si>
  <si>
    <t>gasgas</t>
  </si>
  <si>
    <t>dangdang</t>
  </si>
  <si>
    <t>nana</t>
  </si>
  <si>
    <t>lalangan</t>
  </si>
  <si>
    <t>gargaran</t>
  </si>
  <si>
    <t>borbor</t>
  </si>
  <si>
    <t>sosoan</t>
  </si>
  <si>
    <t>maymay</t>
  </si>
  <si>
    <t>sasa</t>
  </si>
  <si>
    <t>bibihira</t>
  </si>
  <si>
    <t>papag</t>
  </si>
  <si>
    <t>babala</t>
  </si>
  <si>
    <t>bibirsi</t>
  </si>
  <si>
    <t>lalayan</t>
  </si>
  <si>
    <t>kuskusyag</t>
  </si>
  <si>
    <t>dayday</t>
  </si>
  <si>
    <t>kengkeng</t>
  </si>
  <si>
    <t>babaw</t>
  </si>
  <si>
    <t>silsil</t>
  </si>
  <si>
    <t>mamay</t>
  </si>
  <si>
    <t>sisil</t>
  </si>
  <si>
    <t>sansaw</t>
  </si>
  <si>
    <t>mungmungan</t>
  </si>
  <si>
    <t>pilpil</t>
  </si>
  <si>
    <t>meme</t>
  </si>
  <si>
    <t>alt_word</t>
  </si>
  <si>
    <t>category (task)</t>
  </si>
  <si>
    <t>sub-category</t>
  </si>
  <si>
    <t>Inflected affix extraction</t>
  </si>
  <si>
    <t>makarating</t>
  </si>
  <si>
    <t>makadating</t>
  </si>
  <si>
    <t>sakitan</t>
  </si>
  <si>
    <t>bukasan</t>
  </si>
  <si>
    <t>sunurin</t>
  </si>
  <si>
    <t>tuparin</t>
  </si>
  <si>
    <t>bigayan</t>
  </si>
  <si>
    <t>dinigin</t>
  </si>
  <si>
    <t>lagayan</t>
  </si>
  <si>
    <t>tikiman</t>
  </si>
  <si>
    <t>bilihin</t>
  </si>
  <si>
    <t>composition_character_counting_00001</t>
  </si>
  <si>
    <t>composition_character_counting_00002</t>
  </si>
  <si>
    <t>composition_character_counting_00003</t>
  </si>
  <si>
    <t>composition_character_counting_00004</t>
  </si>
  <si>
    <t>composition_character_counting_00005</t>
  </si>
  <si>
    <t>composition_character_counting_00006</t>
  </si>
  <si>
    <t>composition_character_counting_00007</t>
  </si>
  <si>
    <t>composition_character_counting_00008</t>
  </si>
  <si>
    <t>composition_character_counting_00009</t>
  </si>
  <si>
    <t>composition_character_counting_00010</t>
  </si>
  <si>
    <t>composition_character_counting_00011</t>
  </si>
  <si>
    <t>composition_character_counting_00012</t>
  </si>
  <si>
    <t>composition_character_counting_00013</t>
  </si>
  <si>
    <t>composition_character_counting_00014</t>
  </si>
  <si>
    <t>composition_character_counting_00015</t>
  </si>
  <si>
    <t>composition_character_counting_00016</t>
  </si>
  <si>
    <t>composition_character_counting_00017</t>
  </si>
  <si>
    <t>composition_character_counting_00018</t>
  </si>
  <si>
    <t>composition_character_counting_00019</t>
  </si>
  <si>
    <t>composition_character_counting_00020</t>
  </si>
  <si>
    <t>composition_character_counting_00021</t>
  </si>
  <si>
    <t>composition_character_counting_00022</t>
  </si>
  <si>
    <t>composition_character_counting_00023</t>
  </si>
  <si>
    <t>composition_character_counting_00024</t>
  </si>
  <si>
    <t>composition_character_counting_00025</t>
  </si>
  <si>
    <t>composition_character_counting_00026</t>
  </si>
  <si>
    <t>composition_character_counting_00027</t>
  </si>
  <si>
    <t>composition_character_counting_00028</t>
  </si>
  <si>
    <t>composition_character_counting_00029</t>
  </si>
  <si>
    <t>composition_character_counting_00030</t>
  </si>
  <si>
    <t>composition_character_counting_00031</t>
  </si>
  <si>
    <t>composition_character_counting_00032</t>
  </si>
  <si>
    <t>composition_character_counting_00033</t>
  </si>
  <si>
    <t>composition_character_counting_00034</t>
  </si>
  <si>
    <t>composition_character_counting_00035</t>
  </si>
  <si>
    <t>composition_character_counting_00036</t>
  </si>
  <si>
    <t>composition_character_counting_00037</t>
  </si>
  <si>
    <t>composition_character_counting_00038</t>
  </si>
  <si>
    <t>composition_character_counting_00039</t>
  </si>
  <si>
    <t>composition_character_counting_00040</t>
  </si>
  <si>
    <t>composition_character_counting_00041</t>
  </si>
  <si>
    <t>composition_character_counting_00042</t>
  </si>
  <si>
    <t>composition_character_counting_00043</t>
  </si>
  <si>
    <t>composition_character_counting_00044</t>
  </si>
  <si>
    <t>composition_character_counting_00045</t>
  </si>
  <si>
    <t>composition_character_counting_00046</t>
  </si>
  <si>
    <t>composition_character_counting_00047</t>
  </si>
  <si>
    <t>composition_character_counting_00048</t>
  </si>
  <si>
    <t>composition_character_counting_00049</t>
  </si>
  <si>
    <t>composition_character_counting_00050</t>
  </si>
  <si>
    <t>composition_character_counting_00051</t>
  </si>
  <si>
    <t>composition_character_counting_00052</t>
  </si>
  <si>
    <t>composition_character_counting_00053</t>
  </si>
  <si>
    <t>composition_character_counting_00054</t>
  </si>
  <si>
    <t>composition_character_counting_00055</t>
  </si>
  <si>
    <t>composition_character_counting_00056</t>
  </si>
  <si>
    <t>composition_character_counting_00057</t>
  </si>
  <si>
    <t>composition_character_counting_00058</t>
  </si>
  <si>
    <t>composition_character_counting_00059</t>
  </si>
  <si>
    <t>composition_character_counting_00060</t>
  </si>
  <si>
    <t>composition_character_counting_00061</t>
  </si>
  <si>
    <t>composition_character_counting_00062</t>
  </si>
  <si>
    <t>composition_character_counting_00063</t>
  </si>
  <si>
    <t>composition_character_counting_00064</t>
  </si>
  <si>
    <t>composition_character_counting_00065</t>
  </si>
  <si>
    <t>composition_character_counting_00066</t>
  </si>
  <si>
    <t>composition_character_counting_00067</t>
  </si>
  <si>
    <t>composition_character_counting_00068</t>
  </si>
  <si>
    <t>composition_character_counting_00069</t>
  </si>
  <si>
    <t>composition_character_counting_00070</t>
  </si>
  <si>
    <t>composition_character_counting_00071</t>
  </si>
  <si>
    <t>composition_character_counting_00072</t>
  </si>
  <si>
    <t>composition_character_counting_00073</t>
  </si>
  <si>
    <t>composition_character_counting_00074</t>
  </si>
  <si>
    <t>composition_character_counting_00075</t>
  </si>
  <si>
    <t>composition_character_counting_00076</t>
  </si>
  <si>
    <t>composition_character_counting_00077</t>
  </si>
  <si>
    <t>composition_character_counting_00078</t>
  </si>
  <si>
    <t>composition_character_counting_00079</t>
  </si>
  <si>
    <t>composition_character_counting_00080</t>
  </si>
  <si>
    <t>composition_character_counting_00081</t>
  </si>
  <si>
    <t>composition_character_counting_00082</t>
  </si>
  <si>
    <t>composition_character_counting_00083</t>
  </si>
  <si>
    <t>composition_character_counting_00084</t>
  </si>
  <si>
    <t>composition_character_counting_00085</t>
  </si>
  <si>
    <t>composition_character_counting_00086</t>
  </si>
  <si>
    <t>composition_character_counting_00087</t>
  </si>
  <si>
    <t>composition_character_counting_00088</t>
  </si>
  <si>
    <t>composition_character_counting_00089</t>
  </si>
  <si>
    <t>composition_character_counting_00090</t>
  </si>
  <si>
    <t>composition_character_counting_00091</t>
  </si>
  <si>
    <t>composition_character_counting_00092</t>
  </si>
  <si>
    <t>composition_character_counting_00093</t>
  </si>
  <si>
    <t>composition_character_counting_00094</t>
  </si>
  <si>
    <t>composition_character_counting_00095</t>
  </si>
  <si>
    <t>composition_character_counting_00096</t>
  </si>
  <si>
    <t>composition_character_counting_00097</t>
  </si>
  <si>
    <t>composition_character_counting_00098</t>
  </si>
  <si>
    <t>composition_character_counting_00099</t>
  </si>
  <si>
    <t>composition_character_counting_00100</t>
  </si>
  <si>
    <t>morphological_extraction_inflected_affix_extraction_00000</t>
  </si>
  <si>
    <t>morphological_extraction_inflected_affix_extraction_00001</t>
  </si>
  <si>
    <t>morphological_extraction_inflected_affix_extraction_00002</t>
  </si>
  <si>
    <t>morphological_extraction_inflected_affix_extraction_00003</t>
  </si>
  <si>
    <t>morphological_extraction_inflected_affix_extraction_00004</t>
  </si>
  <si>
    <t>morphological_extraction_inflected_affix_extraction_00005</t>
  </si>
  <si>
    <t>morphological_extraction_inflected_affix_extraction_00006</t>
  </si>
  <si>
    <t>morphological_extraction_inflected_affix_extraction_00007</t>
  </si>
  <si>
    <t>morphological_extraction_inflected_affix_extraction_00008</t>
  </si>
  <si>
    <t>morphological_extraction_inflected_affix_extraction_00009</t>
  </si>
  <si>
    <t>morphological_extraction_inflected_affix_extraction_00010</t>
  </si>
  <si>
    <t>morphological_extraction_inflected_affix_extraction_00011</t>
  </si>
  <si>
    <t>morphological_extraction_inflected_affix_extraction_00012</t>
  </si>
  <si>
    <t>morphological_extraction_inflected_affix_extraction_00013</t>
  </si>
  <si>
    <t>morphological_extraction_inflected_affix_extraction_00014</t>
  </si>
  <si>
    <t>morphological_extraction_inflected_affix_extraction_00015</t>
  </si>
  <si>
    <t>morphological_extraction_inflected_affix_extraction_00016</t>
  </si>
  <si>
    <t>morphological_extraction_inflected_affix_extraction_00017</t>
  </si>
  <si>
    <t>morphological_extraction_inflected_affix_extraction_00018</t>
  </si>
  <si>
    <t>morphological_extraction_inflected_affix_extraction_00019</t>
  </si>
  <si>
    <t>morphological_extraction_inflected_affix_extraction_00020</t>
  </si>
  <si>
    <t>morphological_extraction_inflected_affix_extraction_00021</t>
  </si>
  <si>
    <t>morphological_extraction_inflected_affix_extraction_00022</t>
  </si>
  <si>
    <t>morphological_extraction_inflected_affix_extraction_00023</t>
  </si>
  <si>
    <t>morphological_extraction_inflected_affix_extraction_00024</t>
  </si>
  <si>
    <t>morphological_extraction_inflected_affix_extraction_00025</t>
  </si>
  <si>
    <t>morphological_extraction_inflected_affix_extraction_00026</t>
  </si>
  <si>
    <t>morphological_extraction_inflected_affix_extraction_00027</t>
  </si>
  <si>
    <t>morphological_extraction_inflected_affix_extraction_00028</t>
  </si>
  <si>
    <t>morphological_extraction_inflected_affix_extraction_00029</t>
  </si>
  <si>
    <t>morphological_extraction_inflected_affix_extraction_00030</t>
  </si>
  <si>
    <t>morphological_extraction_inflected_affix_extraction_00031</t>
  </si>
  <si>
    <t>morphological_extraction_inflected_affix_extraction_00032</t>
  </si>
  <si>
    <t>morphological_extraction_inflected_affix_extraction_00033</t>
  </si>
  <si>
    <t>morphological_extraction_inflected_affix_extraction_00034</t>
  </si>
  <si>
    <t>morphological_extraction_inflected_affix_extraction_00035</t>
  </si>
  <si>
    <t>morphological_extraction_inflected_affix_extraction_00036</t>
  </si>
  <si>
    <t>morphological_extraction_inflected_affix_extraction_00037</t>
  </si>
  <si>
    <t>morphological_extraction_inflected_affix_extraction_00038</t>
  </si>
  <si>
    <t>morphological_extraction_inflected_affix_extraction_00039</t>
  </si>
  <si>
    <t>morphological_extraction_inflected_affix_extraction_00040</t>
  </si>
  <si>
    <t>morphological_extraction_inflected_affix_extraction_00041</t>
  </si>
  <si>
    <t>morphological_extraction_inflected_affix_extraction_00042</t>
  </si>
  <si>
    <t>morphological_extraction_inflected_affix_extraction_00043</t>
  </si>
  <si>
    <t>morphological_extraction_inflected_affix_extraction_00044</t>
  </si>
  <si>
    <t>morphological_extraction_inflected_affix_extraction_00045</t>
  </si>
  <si>
    <t>morphological_extraction_inflected_affix_extraction_00046</t>
  </si>
  <si>
    <t>morphological_extraction_inflected_affix_extraction_00047</t>
  </si>
  <si>
    <t>morphological_extraction_inflected_affix_extraction_00048</t>
  </si>
  <si>
    <t>morphological_extraction_inflected_affix_extraction_00049</t>
  </si>
  <si>
    <t>morphological_extraction_inflected_affix_extraction_00050</t>
  </si>
  <si>
    <t>morphological_extraction_inflected_affix_extraction_00051</t>
  </si>
  <si>
    <t>morphological_extraction_inflected_affix_extraction_00052</t>
  </si>
  <si>
    <t>morphological_extraction_inflected_affix_extraction_00053</t>
  </si>
  <si>
    <t>morphological_extraction_inflected_affix_extraction_00054</t>
  </si>
  <si>
    <t>morphological_extraction_inflected_affix_extraction_00055</t>
  </si>
  <si>
    <t>morphological_extraction_inflected_affix_extraction_00056</t>
  </si>
  <si>
    <t>morphological_extraction_inflected_affix_extraction_00057</t>
  </si>
  <si>
    <t>morphological_extraction_inflected_affix_extraction_00058</t>
  </si>
  <si>
    <t>morphological_extraction_inflected_affix_extraction_00059</t>
  </si>
  <si>
    <t>morphological_extraction_inflected_affix_extraction_00060</t>
  </si>
  <si>
    <t>morphological_extraction_inflected_affix_extraction_00061</t>
  </si>
  <si>
    <t>morphological_extraction_inflected_affix_extraction_00062</t>
  </si>
  <si>
    <t>morphological_extraction_inflected_affix_extraction_00063</t>
  </si>
  <si>
    <t>morphological_extraction_inflected_affix_extraction_00064</t>
  </si>
  <si>
    <t>morphological_extraction_inflected_affix_extraction_00065</t>
  </si>
  <si>
    <t>morphological_extraction_inflected_affix_extraction_00066</t>
  </si>
  <si>
    <t>morphological_extraction_inflected_affix_extraction_00067</t>
  </si>
  <si>
    <t>morphological_extraction_inflected_affix_extraction_00068</t>
  </si>
  <si>
    <t>morphological_extraction_inflected_affix_extraction_00069</t>
  </si>
  <si>
    <t>morphological_extraction_inflected_affix_extraction_00070</t>
  </si>
  <si>
    <t>morphological_extraction_inflected_affix_extraction_00071</t>
  </si>
  <si>
    <t>morphological_extraction_inflected_affix_extraction_00072</t>
  </si>
  <si>
    <t>morphological_extraction_inflected_affix_extraction_00073</t>
  </si>
  <si>
    <t>morphological_extraction_inflected_affix_extraction_00074</t>
  </si>
  <si>
    <t>morphological_extraction_inflected_affix_extraction_00075</t>
  </si>
  <si>
    <t>morphological_extraction_inflected_affix_extraction_00076</t>
  </si>
  <si>
    <t>morphological_extraction_inflected_affix_extraction_00077</t>
  </si>
  <si>
    <t>morphological_extraction_inflected_affix_extraction_00078</t>
  </si>
  <si>
    <t>morphological_extraction_inflected_affix_extraction_00079</t>
  </si>
  <si>
    <t>morphological_extraction_inflected_affix_extraction_00080</t>
  </si>
  <si>
    <t>morphological_extraction_inflected_affix_extraction_00081</t>
  </si>
  <si>
    <t>morphological_extraction_inflected_affix_extraction_00082</t>
  </si>
  <si>
    <t>morphological_extraction_inflected_affix_extraction_00083</t>
  </si>
  <si>
    <t>morphological_extraction_inflected_affix_extraction_00084</t>
  </si>
  <si>
    <t>morphological_extraction_inflected_affix_extraction_00085</t>
  </si>
  <si>
    <t>morphological_extraction_inflected_affix_extraction_00086</t>
  </si>
  <si>
    <t>morphological_extraction_inflected_affix_extraction_00087</t>
  </si>
  <si>
    <t>morphological_extraction_inflected_affix_extraction_00088</t>
  </si>
  <si>
    <t>morphological_extraction_inflected_affix_extraction_00089</t>
  </si>
  <si>
    <t>morphological_extraction_inflected_affix_extraction_00090</t>
  </si>
  <si>
    <t>morphological_extraction_inflected_affix_extraction_00091</t>
  </si>
  <si>
    <t>morphological_extraction_inflected_affix_extraction_00092</t>
  </si>
  <si>
    <t>morphological_extraction_inflected_affix_extraction_00093</t>
  </si>
  <si>
    <t>morphological_extraction_inflected_affix_extraction_00094</t>
  </si>
  <si>
    <t>morphological_extraction_inflected_affix_extraction_00095</t>
  </si>
  <si>
    <t>morphological_extraction_inflected_affix_extraction_00096</t>
  </si>
  <si>
    <t>morphological_extraction_inflected_affix_extraction_00097</t>
  </si>
  <si>
    <t>morphological_extraction_inflected_affix_extraction_00098</t>
  </si>
  <si>
    <t>morphological_extraction_inflected_affix_extraction_00099</t>
  </si>
  <si>
    <t>morphological_extraction_inflected_affix_extraction_00100</t>
  </si>
  <si>
    <t>morphological_extraction_inflected_affix_extraction_00101</t>
  </si>
  <si>
    <t>morphological_extraction_inflected_affix_extraction_00102</t>
  </si>
  <si>
    <t>morphological_extraction_inflected_affix_extraction_00103</t>
  </si>
  <si>
    <t>morphological_extraction_inflected_affix_extraction_00104</t>
  </si>
  <si>
    <t>morphological_extraction_inflected_affix_extraction_00105</t>
  </si>
  <si>
    <t>morphological_extraction_inflected_affix_extraction_00106</t>
  </si>
  <si>
    <t>morphological_extraction_inflected_affix_extraction_00107</t>
  </si>
  <si>
    <t>morphological_extraction_inflected_affix_extraction_00108</t>
  </si>
  <si>
    <t>morphological_extraction_inflected_affix_extraction_00109</t>
  </si>
  <si>
    <t>morphological_extraction_inflected_affix_extraction_00110</t>
  </si>
  <si>
    <t>morphological_extraction_inflected_affix_extraction_00111</t>
  </si>
  <si>
    <t>morphological_extraction_inflected_affix_extraction_00112</t>
  </si>
  <si>
    <t>morphological_extraction_inflected_affix_extraction_00113</t>
  </si>
  <si>
    <t>morphological_extraction_inflected_affix_extraction_00114</t>
  </si>
  <si>
    <t>morphological_extraction_inflected_affix_extraction_00115</t>
  </si>
  <si>
    <t>morphological_extraction_inflected_affix_extraction_00116</t>
  </si>
  <si>
    <t>morphological_extraction_inflected_affix_extraction_00117</t>
  </si>
  <si>
    <t>morphological_extraction_inflected_affix_extraction_00118</t>
  </si>
  <si>
    <t>morphological_extraction_inflected_affix_extraction_00119</t>
  </si>
  <si>
    <t>morphological_extraction_inflected_affix_extraction_00120</t>
  </si>
  <si>
    <t>morphological_extraction_inflected_affix_extraction_00121</t>
  </si>
  <si>
    <t>morphological_extraction_inflected_affix_extraction_00122</t>
  </si>
  <si>
    <t>morphological_extraction_inflected_affix_extraction_00123</t>
  </si>
  <si>
    <t>morphological_extraction_inflected_affix_extraction_00124</t>
  </si>
  <si>
    <t>morphological_extraction_inflected_affix_extraction_00125</t>
  </si>
  <si>
    <t>morphological_extraction_inflected_affix_extraction_00126</t>
  </si>
  <si>
    <t>morphological_extraction_inflected_affix_extraction_00127</t>
  </si>
  <si>
    <t>morphological_extraction_inflected_affix_extraction_00128</t>
  </si>
  <si>
    <t>morphological_extraction_inflected_affix_extraction_00129</t>
  </si>
  <si>
    <t>morphological_extraction_inflected_affix_extraction_00130</t>
  </si>
  <si>
    <t>morphological_extraction_inflected_affix_extraction_00131</t>
  </si>
  <si>
    <t>morphological_extraction_inflected_affix_extraction_00132</t>
  </si>
  <si>
    <t>morphological_extraction_inflected_affix_extraction_00133</t>
  </si>
  <si>
    <t>morphological_extraction_inflected_affix_extraction_00134</t>
  </si>
  <si>
    <t>morphological_extraction_inflected_affix_extraction_00135</t>
  </si>
  <si>
    <t>morphological_extraction_inflected_affix_extraction_00136</t>
  </si>
  <si>
    <t>morphological_extraction_inflected_affix_extraction_00137</t>
  </si>
  <si>
    <t>morphological_extraction_inflected_affix_extraction_00138</t>
  </si>
  <si>
    <t>morphological_extraction_inflected_affix_extraction_00139</t>
  </si>
  <si>
    <t>morphological_extraction_inflected_affix_extraction_00140</t>
  </si>
  <si>
    <t>morphological_extraction_inflected_affix_extraction_00141</t>
  </si>
  <si>
    <t>morphological_extraction_inflected_affix_extraction_00142</t>
  </si>
  <si>
    <t>morphological_extraction_inflected_affix_extraction_00143</t>
  </si>
  <si>
    <t>morphological_extraction_inflected_affix_extraction_00144</t>
  </si>
  <si>
    <t>morphological_extraction_inflected_affix_extraction_00145</t>
  </si>
  <si>
    <t>morphological_extraction_inflected_affix_extraction_00146</t>
  </si>
  <si>
    <t>morphological_extraction_inflected_affix_extraction_00147</t>
  </si>
  <si>
    <t>morphological_extraction_inflected_affix_extraction_00148</t>
  </si>
  <si>
    <t>morphological_extraction_inflected_affix_extraction_00149</t>
  </si>
  <si>
    <t>morphological_extraction_inflected_affix_extraction_00150</t>
  </si>
  <si>
    <t>morphological_extraction_inflected_affix_extraction_00151</t>
  </si>
  <si>
    <t>morphological_extraction_inflected_affix_extraction_00152</t>
  </si>
  <si>
    <t>morphological_extraction_inflected_affix_extraction_00153</t>
  </si>
  <si>
    <t>morphological_extraction_inflected_affix_extraction_00154</t>
  </si>
  <si>
    <t>morphological_extraction_inflected_affix_extraction_00155</t>
  </si>
  <si>
    <t>morphological_extraction_inflected_affix_extraction_00156</t>
  </si>
  <si>
    <t>morphological_extraction_inflected_affix_extraction_00157</t>
  </si>
  <si>
    <t>morphological_extraction_inflected_affix_extraction_00158</t>
  </si>
  <si>
    <t>morphological_extraction_inflected_affix_extraction_00159</t>
  </si>
  <si>
    <t>morphological_extraction_inflected_affix_extraction_00160</t>
  </si>
  <si>
    <t>morphological_extraction_inflected_affix_extraction_00161</t>
  </si>
  <si>
    <t>morphological_extraction_inflected_affix_extraction_00162</t>
  </si>
  <si>
    <t>morphological_extraction_inflected_affix_extraction_00163</t>
  </si>
  <si>
    <t>morphological_extraction_inflected_affix_extraction_00164</t>
  </si>
  <si>
    <t>morphological_extraction_inflected_affix_extraction_00165</t>
  </si>
  <si>
    <t>morphological_extraction_inflected_affix_extraction_00166</t>
  </si>
  <si>
    <t>morphological_extraction_inflected_affix_extraction_00167</t>
  </si>
  <si>
    <t>morphological_extraction_inflected_affix_extraction_00168</t>
  </si>
  <si>
    <t>morphological_extraction_inflected_affix_extraction_00169</t>
  </si>
  <si>
    <t>morphological_extraction_inflected_affix_extraction_00170</t>
  </si>
  <si>
    <t>morphological_extraction_inflected_affix_extraction_00171</t>
  </si>
  <si>
    <t>morphological_extraction_inflected_affix_extraction_00172</t>
  </si>
  <si>
    <t>morphological_extraction_inflected_affix_extraction_00173</t>
  </si>
  <si>
    <t>morphological_extraction_inflected_affix_extraction_00174</t>
  </si>
  <si>
    <t>morphological_extraction_inflected_affix_extraction_00175</t>
  </si>
  <si>
    <t>morphological_extraction_inflected_affix_extraction_00176</t>
  </si>
  <si>
    <t>morphological_extraction_inflected_affix_extraction_00177</t>
  </si>
  <si>
    <t>morphological_extraction_inflected_affix_extraction_00178</t>
  </si>
  <si>
    <t>morphological_extraction_inflected_affix_extraction_00179</t>
  </si>
  <si>
    <t>morphological_extraction_inflected_affix_extraction_00180</t>
  </si>
  <si>
    <t>morphological_extraction_inflected_affix_extraction_00181</t>
  </si>
  <si>
    <t>morphological_extraction_inflected_affix_extraction_00182</t>
  </si>
  <si>
    <t>morphological_extraction_inflected_affix_extraction_00183</t>
  </si>
  <si>
    <t>morphological_extraction_inflected_affix_extraction_00184</t>
  </si>
  <si>
    <t>morphological_extraction_inflected_affix_extraction_00185</t>
  </si>
  <si>
    <t>morphological_extraction_inflected_affix_extraction_00186</t>
  </si>
  <si>
    <t>morphological_extraction_inflected_affix_extraction_00187</t>
  </si>
  <si>
    <t>morphological_extraction_inflected_affix_extraction_00188</t>
  </si>
  <si>
    <t>morphological_extraction_inflected_affix_extraction_00189</t>
  </si>
  <si>
    <t>morphological_extraction_inflected_affix_extraction_00190</t>
  </si>
  <si>
    <t>morphological_extraction_inflected_affix_extraction_00191</t>
  </si>
  <si>
    <t>morphological_extraction_inflected_affix_extraction_00192</t>
  </si>
  <si>
    <t>morphological_extraction_inflected_affix_extraction_00193</t>
  </si>
  <si>
    <t>morphological_extraction_inflected_affix_extraction_00194</t>
  </si>
  <si>
    <t>morphological_extraction_inflected_affix_extraction_00195</t>
  </si>
  <si>
    <t>morphological_extraction_inflected_affix_extraction_00196</t>
  </si>
  <si>
    <t>morphological_extraction_inflected_affix_extraction_00197</t>
  </si>
  <si>
    <t>morphological_extraction_inflected_affix_extraction_00198</t>
  </si>
  <si>
    <t>morphological_extraction_inflected_affix_extraction_00199</t>
  </si>
  <si>
    <t>morphological_extraction_inflected_affix_extraction_00200</t>
  </si>
  <si>
    <t>morphological_extraction_inflected_affix_extraction_00201</t>
  </si>
  <si>
    <t>morphological_extraction_inflected_affix_extraction_00202</t>
  </si>
  <si>
    <t>morphological_extraction_inflected_affix_extraction_00203</t>
  </si>
  <si>
    <t>morphological_extraction_inflected_affix_extraction_00204</t>
  </si>
  <si>
    <t>morphological_extraction_inflected_affix_extraction_00205</t>
  </si>
  <si>
    <t>morphological_extraction_inflected_affix_extraction_00206</t>
  </si>
  <si>
    <t>morphological_extraction_inflected_affix_extraction_00207</t>
  </si>
  <si>
    <t>morphological_extraction_inflected_affix_extraction_00208</t>
  </si>
  <si>
    <t>morphological_extraction_inflected_affix_extraction_00209</t>
  </si>
  <si>
    <t>morphological_extraction_inflected_affix_extraction_00210</t>
  </si>
  <si>
    <t>morphological_extraction_inflected_affix_extraction_00211</t>
  </si>
  <si>
    <t>morphological_extraction_inflected_affix_extraction_00212</t>
  </si>
  <si>
    <t>morphological_extraction_inflected_affix_extraction_00213</t>
  </si>
  <si>
    <t>morphological_extraction_inflected_affix_extraction_00214</t>
  </si>
  <si>
    <t>morphological_extraction_inflected_affix_extraction_00215</t>
  </si>
  <si>
    <t>morphological_extraction_inflected_affix_extraction_00216</t>
  </si>
  <si>
    <t>morphological_extraction_inflected_affix_extraction_00217</t>
  </si>
  <si>
    <t>morphological_extraction_inflected_affix_extraction_00218</t>
  </si>
  <si>
    <t>morphological_extraction_inflected_affix_extraction_00219</t>
  </si>
  <si>
    <t>morphological_extraction_inflected_affix_extraction_00220</t>
  </si>
  <si>
    <t>morphological_extraction_inflected_affix_extraction_00221</t>
  </si>
  <si>
    <t>morphological_extraction_inflected_affix_extraction_00222</t>
  </si>
  <si>
    <t>morphological_extraction_inflected_affix_extraction_00223</t>
  </si>
  <si>
    <t>morphological_extraction_inflected_affix_extraction_00224</t>
  </si>
  <si>
    <t>morphological_extraction_inflected_affix_extraction_00225</t>
  </si>
  <si>
    <t>morphological_extraction_inflected_affix_extraction_00226</t>
  </si>
  <si>
    <t>morphological_extraction_inflected_affix_extraction_00227</t>
  </si>
  <si>
    <t>morphological_extraction_inflected_affix_extraction_00228</t>
  </si>
  <si>
    <t>morphological_extraction_inflected_affix_extraction_00229</t>
  </si>
  <si>
    <t>morphological_extraction_inflected_root_extraction_00000</t>
  </si>
  <si>
    <t>morphological_extraction_inflected_root_extraction_00001</t>
  </si>
  <si>
    <t>morphological_extraction_inflected_root_extraction_00002</t>
  </si>
  <si>
    <t>morphological_extraction_inflected_root_extraction_00003</t>
  </si>
  <si>
    <t>morphological_extraction_inflected_root_extraction_00004</t>
  </si>
  <si>
    <t>morphological_extraction_inflected_root_extraction_00005</t>
  </si>
  <si>
    <t>morphological_extraction_inflected_root_extraction_00006</t>
  </si>
  <si>
    <t>morphological_extraction_inflected_root_extraction_00007</t>
  </si>
  <si>
    <t>morphological_extraction_inflected_root_extraction_00008</t>
  </si>
  <si>
    <t>morphological_extraction_inflected_root_extraction_00009</t>
  </si>
  <si>
    <t>morphological_extraction_inflected_root_extraction_00010</t>
  </si>
  <si>
    <t>morphological_extraction_inflected_root_extraction_00011</t>
  </si>
  <si>
    <t>morphological_extraction_inflected_root_extraction_00012</t>
  </si>
  <si>
    <t>morphological_extraction_inflected_root_extraction_00013</t>
  </si>
  <si>
    <t>morphological_extraction_inflected_root_extraction_00014</t>
  </si>
  <si>
    <t>morphological_extraction_inflected_root_extraction_00015</t>
  </si>
  <si>
    <t>morphological_extraction_inflected_root_extraction_00016</t>
  </si>
  <si>
    <t>morphological_extraction_inflected_root_extraction_00017</t>
  </si>
  <si>
    <t>morphological_extraction_inflected_root_extraction_00018</t>
  </si>
  <si>
    <t>morphological_extraction_inflected_root_extraction_00019</t>
  </si>
  <si>
    <t>morphological_extraction_inflected_root_extraction_00020</t>
  </si>
  <si>
    <t>morphological_extraction_inflected_root_extraction_00021</t>
  </si>
  <si>
    <t>morphological_extraction_inflected_root_extraction_00022</t>
  </si>
  <si>
    <t>morphological_extraction_inflected_root_extraction_00023</t>
  </si>
  <si>
    <t>morphological_extraction_inflected_root_extraction_00024</t>
  </si>
  <si>
    <t>morphological_extraction_inflected_root_extraction_00025</t>
  </si>
  <si>
    <t>morphological_extraction_inflected_root_extraction_00026</t>
  </si>
  <si>
    <t>morphological_extraction_inflected_root_extraction_00027</t>
  </si>
  <si>
    <t>morphological_extraction_inflected_root_extraction_00028</t>
  </si>
  <si>
    <t>morphological_extraction_inflected_root_extraction_00029</t>
  </si>
  <si>
    <t>morphological_extraction_inflected_root_extraction_00030</t>
  </si>
  <si>
    <t>morphological_extraction_inflected_root_extraction_00031</t>
  </si>
  <si>
    <t>morphological_extraction_inflected_root_extraction_00032</t>
  </si>
  <si>
    <t>morphological_extraction_inflected_root_extraction_00033</t>
  </si>
  <si>
    <t>morphological_extraction_inflected_root_extraction_00034</t>
  </si>
  <si>
    <t>morphological_extraction_inflected_root_extraction_00035</t>
  </si>
  <si>
    <t>morphological_extraction_inflected_root_extraction_00036</t>
  </si>
  <si>
    <t>morphological_extraction_inflected_root_extraction_00037</t>
  </si>
  <si>
    <t>morphological_extraction_inflected_root_extraction_00038</t>
  </si>
  <si>
    <t>morphological_extraction_inflected_root_extraction_00039</t>
  </si>
  <si>
    <t>morphological_extraction_inflected_root_extraction_00040</t>
  </si>
  <si>
    <t>morphological_extraction_inflected_root_extraction_00041</t>
  </si>
  <si>
    <t>morphological_extraction_inflected_root_extraction_00042</t>
  </si>
  <si>
    <t>morphological_extraction_inflected_root_extraction_00043</t>
  </si>
  <si>
    <t>morphological_extraction_inflected_root_extraction_00044</t>
  </si>
  <si>
    <t>morphological_extraction_inflected_root_extraction_00045</t>
  </si>
  <si>
    <t>morphological_extraction_inflected_root_extraction_00046</t>
  </si>
  <si>
    <t>morphological_extraction_inflected_root_extraction_00047</t>
  </si>
  <si>
    <t>morphological_extraction_inflected_root_extraction_00048</t>
  </si>
  <si>
    <t>morphological_extraction_inflected_root_extraction_00049</t>
  </si>
  <si>
    <t>morphological_extraction_inflected_root_extraction_00050</t>
  </si>
  <si>
    <t>morphological_extraction_inflected_root_extraction_00051</t>
  </si>
  <si>
    <t>morphological_extraction_inflected_root_extraction_00052</t>
  </si>
  <si>
    <t>morphological_extraction_inflected_root_extraction_00053</t>
  </si>
  <si>
    <t>morphological_extraction_inflected_root_extraction_00054</t>
  </si>
  <si>
    <t>morphological_extraction_inflected_root_extraction_00055</t>
  </si>
  <si>
    <t>morphological_extraction_inflected_root_extraction_00056</t>
  </si>
  <si>
    <t>morphological_extraction_inflected_root_extraction_00057</t>
  </si>
  <si>
    <t>morphological_extraction_inflected_root_extraction_00058</t>
  </si>
  <si>
    <t>morphological_extraction_inflected_root_extraction_00059</t>
  </si>
  <si>
    <t>morphological_extraction_inflected_root_extraction_00060</t>
  </si>
  <si>
    <t>morphological_extraction_inflected_root_extraction_00061</t>
  </si>
  <si>
    <t>morphological_extraction_inflected_root_extraction_00062</t>
  </si>
  <si>
    <t>morphological_extraction_inflected_root_extraction_00063</t>
  </si>
  <si>
    <t>morphological_extraction_inflected_root_extraction_00064</t>
  </si>
  <si>
    <t>morphological_extraction_inflected_root_extraction_00065</t>
  </si>
  <si>
    <t>morphological_extraction_inflected_root_extraction_00066</t>
  </si>
  <si>
    <t>morphological_extraction_inflected_root_extraction_00067</t>
  </si>
  <si>
    <t>morphological_extraction_inflected_root_extraction_00068</t>
  </si>
  <si>
    <t>morphological_extraction_inflected_root_extraction_00069</t>
  </si>
  <si>
    <t>morphological_extraction_inflected_root_extraction_00070</t>
  </si>
  <si>
    <t>morphological_extraction_inflected_root_extraction_00071</t>
  </si>
  <si>
    <t>morphological_extraction_inflected_root_extraction_00072</t>
  </si>
  <si>
    <t>morphological_extraction_inflected_root_extraction_00073</t>
  </si>
  <si>
    <t>morphological_extraction_inflected_root_extraction_00074</t>
  </si>
  <si>
    <t>morphological_extraction_inflected_root_extraction_00075</t>
  </si>
  <si>
    <t>morphological_extraction_inflected_root_extraction_00076</t>
  </si>
  <si>
    <t>morphological_extraction_inflected_root_extraction_00077</t>
  </si>
  <si>
    <t>morphological_extraction_inflected_root_extraction_00078</t>
  </si>
  <si>
    <t>morphological_extraction_inflected_root_extraction_00079</t>
  </si>
  <si>
    <t>morphological_extraction_inflected_root_extraction_00080</t>
  </si>
  <si>
    <t>morphological_extraction_inflected_root_extraction_00081</t>
  </si>
  <si>
    <t>morphological_extraction_inflected_root_extraction_00082</t>
  </si>
  <si>
    <t>morphological_extraction_inflected_root_extraction_00083</t>
  </si>
  <si>
    <t>morphological_extraction_inflected_root_extraction_00084</t>
  </si>
  <si>
    <t>morphological_extraction_inflected_root_extraction_00085</t>
  </si>
  <si>
    <t>morphological_extraction_inflected_root_extraction_00086</t>
  </si>
  <si>
    <t>morphological_extraction_inflected_root_extraction_00087</t>
  </si>
  <si>
    <t>morphological_extraction_inflected_root_extraction_00088</t>
  </si>
  <si>
    <t>morphological_extraction_inflected_root_extraction_00089</t>
  </si>
  <si>
    <t>morphological_extraction_inflected_root_extraction_00090</t>
  </si>
  <si>
    <t>morphological_extraction_inflected_root_extraction_00091</t>
  </si>
  <si>
    <t>morphological_extraction_inflected_root_extraction_00092</t>
  </si>
  <si>
    <t>morphological_extraction_inflected_root_extraction_00093</t>
  </si>
  <si>
    <t>morphological_extraction_inflected_root_extraction_00094</t>
  </si>
  <si>
    <t>morphological_extraction_inflected_root_extraction_00095</t>
  </si>
  <si>
    <t>morphological_extraction_inflected_root_extraction_00096</t>
  </si>
  <si>
    <t>morphological_extraction_inflected_root_extraction_00097</t>
  </si>
  <si>
    <t>morphological_extraction_inflected_root_extraction_00098</t>
  </si>
  <si>
    <t>morphological_extraction_inflected_root_extraction_00099</t>
  </si>
  <si>
    <t>morphological_extraction_inflected_root_extraction_00100</t>
  </si>
  <si>
    <t>morphological_extraction_inflected_root_extraction_00101</t>
  </si>
  <si>
    <t>morphological_extraction_inflected_root_extraction_00102</t>
  </si>
  <si>
    <t>morphological_extraction_inflected_root_extraction_00103</t>
  </si>
  <si>
    <t>morphological_extraction_inflected_root_extraction_00104</t>
  </si>
  <si>
    <t>morphological_extraction_inflected_root_extraction_00105</t>
  </si>
  <si>
    <t>morphological_extraction_inflected_root_extraction_00106</t>
  </si>
  <si>
    <t>morphological_extraction_inflected_root_extraction_00107</t>
  </si>
  <si>
    <t>morphological_extraction_inflected_root_extraction_00108</t>
  </si>
  <si>
    <t>morphological_extraction_inflected_root_extraction_00109</t>
  </si>
  <si>
    <t>morphological_extraction_inflected_root_extraction_00110</t>
  </si>
  <si>
    <t>morphological_extraction_inflected_root_extraction_00111</t>
  </si>
  <si>
    <t>morphological_extraction_inflected_root_extraction_00112</t>
  </si>
  <si>
    <t>morphological_extraction_inflected_root_extraction_00113</t>
  </si>
  <si>
    <t>morphological_extraction_inflected_root_extraction_00114</t>
  </si>
  <si>
    <t>morphological_extraction_inflected_root_extraction_00115</t>
  </si>
  <si>
    <t>morphological_extraction_inflected_root_extraction_00116</t>
  </si>
  <si>
    <t>morphological_extraction_inflected_root_extraction_00117</t>
  </si>
  <si>
    <t>morphological_extraction_inflected_root_extraction_00118</t>
  </si>
  <si>
    <t>morphological_extraction_inflected_root_extraction_00119</t>
  </si>
  <si>
    <t>morphological_extraction_inflected_root_extraction_00120</t>
  </si>
  <si>
    <t>morphological_extraction_inflected_root_extraction_00121</t>
  </si>
  <si>
    <t>morphological_extraction_inflected_root_extraction_00122</t>
  </si>
  <si>
    <t>morphological_extraction_inflected_root_extraction_00123</t>
  </si>
  <si>
    <t>morphological_extraction_inflected_root_extraction_00124</t>
  </si>
  <si>
    <t>morphological_extraction_inflected_root_extraction_00125</t>
  </si>
  <si>
    <t>morphological_extraction_inflected_root_extraction_00126</t>
  </si>
  <si>
    <t>morphological_extraction_inflected_root_extraction_00127</t>
  </si>
  <si>
    <t>morphological_extraction_inflected_root_extraction_00128</t>
  </si>
  <si>
    <t>morphological_extraction_inflected_root_extraction_00129</t>
  </si>
  <si>
    <t>morphological_extraction_inflected_root_extraction_00130</t>
  </si>
  <si>
    <t>morphological_extraction_inflected_root_extraction_00131</t>
  </si>
  <si>
    <t>morphological_extraction_inflected_root_extraction_00132</t>
  </si>
  <si>
    <t>morphological_extraction_inflected_root_extraction_00133</t>
  </si>
  <si>
    <t>morphological_extraction_inflected_root_extraction_00134</t>
  </si>
  <si>
    <t>morphological_extraction_inflected_root_extraction_00135</t>
  </si>
  <si>
    <t>morphological_extraction_inflected_root_extraction_00136</t>
  </si>
  <si>
    <t>morphological_extraction_inflected_root_extraction_00137</t>
  </si>
  <si>
    <t>morphological_extraction_inflected_root_extraction_00138</t>
  </si>
  <si>
    <t>morphological_extraction_inflected_root_extraction_00139</t>
  </si>
  <si>
    <t>morphological_extraction_inflected_root_extraction_00140</t>
  </si>
  <si>
    <t>morphological_extraction_inflected_root_extraction_00141</t>
  </si>
  <si>
    <t>morphological_extraction_inflected_root_extraction_00142</t>
  </si>
  <si>
    <t>morphological_extraction_inflected_root_extraction_00143</t>
  </si>
  <si>
    <t>morphological_extraction_inflected_root_extraction_00144</t>
  </si>
  <si>
    <t>morphological_extraction_inflected_root_extraction_00145</t>
  </si>
  <si>
    <t>morphological_extraction_inflected_root_extraction_00146</t>
  </si>
  <si>
    <t>morphological_extraction_inflected_root_extraction_00147</t>
  </si>
  <si>
    <t>morphological_extraction_inflected_root_extraction_00148</t>
  </si>
  <si>
    <t>morphological_extraction_inflected_root_extraction_00149</t>
  </si>
  <si>
    <t>morphological_extraction_inflected_root_extraction_00150</t>
  </si>
  <si>
    <t>morphological_extraction_inflected_root_extraction_00151</t>
  </si>
  <si>
    <t>morphological_extraction_inflected_root_extraction_00152</t>
  </si>
  <si>
    <t>morphological_extraction_inflected_root_extraction_00153</t>
  </si>
  <si>
    <t>morphological_extraction_inflected_root_extraction_00154</t>
  </si>
  <si>
    <t>morphological_extraction_inflected_root_extraction_00155</t>
  </si>
  <si>
    <t>morphological_extraction_inflected_root_extraction_00156</t>
  </si>
  <si>
    <t>morphological_extraction_inflected_root_extraction_00157</t>
  </si>
  <si>
    <t>morphological_extraction_inflected_root_extraction_00158</t>
  </si>
  <si>
    <t>morphological_extraction_inflected_root_extraction_00159</t>
  </si>
  <si>
    <t>morphological_extraction_inflected_root_extraction_00160</t>
  </si>
  <si>
    <t>morphological_extraction_inflected_root_extraction_00161</t>
  </si>
  <si>
    <t>morphological_extraction_inflected_root_extraction_00162</t>
  </si>
  <si>
    <t>morphological_extraction_inflected_root_extraction_00163</t>
  </si>
  <si>
    <t>morphological_extraction_inflected_root_extraction_00164</t>
  </si>
  <si>
    <t>morphological_extraction_inflected_root_extraction_00165</t>
  </si>
  <si>
    <t>morphological_extraction_inflected_root_extraction_00166</t>
  </si>
  <si>
    <t>morphological_extraction_inflected_root_extraction_00167</t>
  </si>
  <si>
    <t>morphological_extraction_inflected_root_extraction_00168</t>
  </si>
  <si>
    <t>morphological_extraction_inflected_root_extraction_00169</t>
  </si>
  <si>
    <t>morphological_extraction_inflected_root_extraction_00170</t>
  </si>
  <si>
    <t>morphological_extraction_inflected_root_extraction_00171</t>
  </si>
  <si>
    <t>morphological_extraction_inflected_root_extraction_00172</t>
  </si>
  <si>
    <t>morphological_extraction_inflected_root_extraction_00173</t>
  </si>
  <si>
    <t>morphological_extraction_inflected_root_extraction_00174</t>
  </si>
  <si>
    <t>morphological_extraction_inflected_root_extraction_00175</t>
  </si>
  <si>
    <t>morphological_extraction_inflected_root_extraction_00176</t>
  </si>
  <si>
    <t>morphological_extraction_inflected_root_extraction_00177</t>
  </si>
  <si>
    <t>morphological_extraction_inflected_root_extraction_00178</t>
  </si>
  <si>
    <t>morphological_extraction_inflected_root_extraction_00179</t>
  </si>
  <si>
    <t>morphological_extraction_inflected_root_extraction_00180</t>
  </si>
  <si>
    <t>morphological_extraction_inflected_root_extraction_00181</t>
  </si>
  <si>
    <t>morphological_extraction_inflected_root_extraction_00182</t>
  </si>
  <si>
    <t>morphological_extraction_inflected_root_extraction_00183</t>
  </si>
  <si>
    <t>morphological_extraction_inflected_root_extraction_00184</t>
  </si>
  <si>
    <t>morphological_extraction_inflected_root_extraction_00185</t>
  </si>
  <si>
    <t>morphological_extraction_inflected_root_extraction_00186</t>
  </si>
  <si>
    <t>morphological_extraction_inflected_root_extraction_00187</t>
  </si>
  <si>
    <t>morphological_extraction_inflected_root_extraction_00188</t>
  </si>
  <si>
    <t>morphological_extraction_inflected_root_extraction_00189</t>
  </si>
  <si>
    <t>reduplicated_root_extraction</t>
  </si>
  <si>
    <t>morphological_extraction_reduplicated_root_extraction_00000</t>
  </si>
  <si>
    <t>morphological_extraction_reduplicated_root_extraction_00001</t>
  </si>
  <si>
    <t>morphological_extraction_reduplicated_root_extraction_00002</t>
  </si>
  <si>
    <t>morphological_extraction_reduplicated_root_extraction_00003</t>
  </si>
  <si>
    <t>morphological_extraction_reduplicated_root_extraction_00004</t>
  </si>
  <si>
    <t>morphological_extraction_reduplicated_root_extraction_00005</t>
  </si>
  <si>
    <t>morphological_extraction_reduplicated_root_extraction_00006</t>
  </si>
  <si>
    <t>morphological_extraction_reduplicated_root_extraction_00007</t>
  </si>
  <si>
    <t>morphological_extraction_reduplicated_root_extraction_00008</t>
  </si>
  <si>
    <t>morphological_extraction_reduplicated_root_extraction_00009</t>
  </si>
  <si>
    <t>morphological_extraction_reduplicated_root_extraction_00010</t>
  </si>
  <si>
    <t>morphological_extraction_reduplicated_root_extraction_00011</t>
  </si>
  <si>
    <t>morphological_extraction_reduplicated_root_extraction_00012</t>
  </si>
  <si>
    <t>morphological_extraction_reduplicated_root_extraction_00013</t>
  </si>
  <si>
    <t>morphological_extraction_reduplicated_root_extraction_00014</t>
  </si>
  <si>
    <t>morphological_extraction_reduplicated_root_extraction_00015</t>
  </si>
  <si>
    <t>morphological_extraction_reduplicated_root_extraction_00016</t>
  </si>
  <si>
    <t>morphological_extraction_reduplicated_root_extraction_00017</t>
  </si>
  <si>
    <t>morphological_extraction_reduplicated_root_extraction_00018</t>
  </si>
  <si>
    <t>morphological_extraction_reduplicated_root_extraction_00019</t>
  </si>
  <si>
    <t>morphological_extraction_reduplicated_root_extraction_00020</t>
  </si>
  <si>
    <t>morphological_extraction_reduplicated_root_extraction_00021</t>
  </si>
  <si>
    <t>morphological_extraction_reduplicated_root_extraction_00022</t>
  </si>
  <si>
    <t>morphological_extraction_reduplicated_root_extraction_00023</t>
  </si>
  <si>
    <t>morphological_extraction_reduplicated_root_extraction_00024</t>
  </si>
  <si>
    <t>morphological_extraction_reduplicated_root_extraction_00025</t>
  </si>
  <si>
    <t>morphological_extraction_reduplicated_root_extraction_00026</t>
  </si>
  <si>
    <t>morphological_extraction_reduplicated_root_extraction_00027</t>
  </si>
  <si>
    <t>morphological_extraction_reduplicated_root_extraction_00028</t>
  </si>
  <si>
    <t>morphological_extraction_reduplicated_root_extraction_00029</t>
  </si>
  <si>
    <t>morphological_extraction_reduplicated_root_extraction_00030</t>
  </si>
  <si>
    <t>morphological_extraction_reduplicated_root_extraction_00031</t>
  </si>
  <si>
    <t>morphological_extraction_reduplicated_root_extraction_00032</t>
  </si>
  <si>
    <t>morphological_extraction_reduplicated_root_extraction_00033</t>
  </si>
  <si>
    <t>morphological_extraction_reduplicated_root_extraction_00034</t>
  </si>
  <si>
    <t>morphological_extraction_reduplicated_root_extraction_00035</t>
  </si>
  <si>
    <t>morphological_extraction_reduplicated_root_extraction_00036</t>
  </si>
  <si>
    <t>morphological_extraction_reduplicated_root_extraction_00037</t>
  </si>
  <si>
    <t>morphological_extraction_reduplicated_root_extraction_00038</t>
  </si>
  <si>
    <t>morphological_extraction_reduplicated_root_extraction_00039</t>
  </si>
  <si>
    <t>morphological_extraction_reduplicated_root_extraction_00040</t>
  </si>
  <si>
    <t>morphological_extraction_reduplicated_root_extraction_00041</t>
  </si>
  <si>
    <t>morphological_extraction_reduplicated_root_extraction_00042</t>
  </si>
  <si>
    <t>morphological_extraction_reduplicated_root_extraction_00043</t>
  </si>
  <si>
    <t>morphological_extraction_reduplicated_root_extraction_00044</t>
  </si>
  <si>
    <t>morphological_extraction_reduplicated_root_extraction_00045</t>
  </si>
  <si>
    <t>morphological_extraction_reduplicated_root_extraction_00046</t>
  </si>
  <si>
    <t>morphological_extraction_reduplicated_root_extraction_00047</t>
  </si>
  <si>
    <t>morphological_extraction_reduplicated_root_extraction_00048</t>
  </si>
  <si>
    <t>morphological_extraction_reduplicated_root_extraction_00049</t>
  </si>
  <si>
    <t>morphological_extraction_reduplicated_root_extraction_00050</t>
  </si>
  <si>
    <t>morphological_extraction_reduplicated_root_extraction_00051</t>
  </si>
  <si>
    <t>morphological_extraction_reduplicated_root_extraction_00052</t>
  </si>
  <si>
    <t>morphological_extraction_reduplicated_root_extraction_00053</t>
  </si>
  <si>
    <t>morphological_extraction_reduplicated_root_extraction_00054</t>
  </si>
  <si>
    <t>morphological_extraction_reduplicated_root_extraction_00055</t>
  </si>
  <si>
    <t>morphological_extraction_reduplicated_root_extraction_00056</t>
  </si>
  <si>
    <t>morphological_extraction_reduplicated_root_extraction_00057</t>
  </si>
  <si>
    <t>morphological_extraction_reduplicated_root_extraction_00058</t>
  </si>
  <si>
    <t>morphological_extraction_reduplicated_root_extraction_00059</t>
  </si>
  <si>
    <t>morphological_extraction_reduplicated_root_extraction_00060</t>
  </si>
  <si>
    <t>morphological_extraction_reduplicated_root_extraction_00061</t>
  </si>
  <si>
    <t>morphological_extraction_reduplicated_root_extraction_00062</t>
  </si>
  <si>
    <t>morphological_extraction_reduplicated_root_extraction_00063</t>
  </si>
  <si>
    <t>morphological_extraction_reduplicated_root_extraction_00064</t>
  </si>
  <si>
    <t>morphological_extraction_reduplicated_root_extraction_00065</t>
  </si>
  <si>
    <t>morphological_extraction_reduplicated_root_extraction_00066</t>
  </si>
  <si>
    <t>morphological_extraction_reduplicated_root_extraction_00067</t>
  </si>
  <si>
    <t>morphological_extraction_reduplicated_root_extraction_00068</t>
  </si>
  <si>
    <t>morphological_extraction_reduplicated_root_extraction_00069</t>
  </si>
  <si>
    <t>morphological_extraction_reduplicated_root_extraction_00070</t>
  </si>
  <si>
    <t>morphological_extraction_reduplicated_root_extraction_00071</t>
  </si>
  <si>
    <t>morphological_extraction_reduplicated_root_extraction_00072</t>
  </si>
  <si>
    <t>morphological_extraction_reduplicated_root_extraction_00073</t>
  </si>
  <si>
    <t>morphological_extraction_reduplicated_root_extraction_00074</t>
  </si>
  <si>
    <t>morphological_extraction_reduplicated_root_extraction_00075</t>
  </si>
  <si>
    <t>morphological_extraction_reduplicated_root_extraction_00076</t>
  </si>
  <si>
    <t>morphological_extraction_reduplicated_root_extraction_00077</t>
  </si>
  <si>
    <t>morphological_extraction_reduplicated_root_extraction_00078</t>
  </si>
  <si>
    <t>morphological_extraction_reduplicated_root_extraction_00079</t>
  </si>
  <si>
    <t>morphological_extraction_reduplicated_root_extraction_00080</t>
  </si>
  <si>
    <t>morphological_extraction_reduplicated_root_extraction_00081</t>
  </si>
  <si>
    <t>morphological_extraction_reduplicated_root_extraction_00082</t>
  </si>
  <si>
    <t>morphological_extraction_reduplicated_root_extraction_00083</t>
  </si>
  <si>
    <t>morphological_extraction_reduplicated_root_extraction_00084</t>
  </si>
  <si>
    <t>morphological_extraction_reduplicated_root_extraction_00085</t>
  </si>
  <si>
    <t>morphological_extraction_reduplicated_root_extraction_00086</t>
  </si>
  <si>
    <t>morphological_extraction_reduplicated_root_extraction_00087</t>
  </si>
  <si>
    <t>morphological_extraction_reduplicated_root_extraction_00088</t>
  </si>
  <si>
    <t>morphological_extraction_reduplicated_root_extraction_00089</t>
  </si>
  <si>
    <t>morphological_extraction_reduplicated_root_extraction_00090</t>
  </si>
  <si>
    <t>morphological_extraction_reduplicated_root_extraction_00091</t>
  </si>
  <si>
    <t>morphological_extraction_reduplicated_root_extraction_00092</t>
  </si>
  <si>
    <t>morphological_extraction_reduplicated_root_extraction_00093</t>
  </si>
  <si>
    <t>morphological_extraction_reduplicated_root_extraction_00094</t>
  </si>
  <si>
    <t>morphological_extraction_reduplicated_root_extraction_00095</t>
  </si>
  <si>
    <t>morphological_extraction_reduplicated_root_extraction_00096</t>
  </si>
  <si>
    <t>morphological_extraction_reduplicated_root_extraction_00097</t>
  </si>
  <si>
    <t>morphological_extraction_reduplicated_root_extraction_00098</t>
  </si>
  <si>
    <t>morphological_extraction_reduplicated_root_extraction_00099</t>
  </si>
  <si>
    <t>morphological_extraction_reduplicated_root_extraction_00100</t>
  </si>
  <si>
    <t>morphological_extraction_reduplicated_root_extraction_00101</t>
  </si>
  <si>
    <t>morphological_extraction_reduplicated_root_extraction_00102</t>
  </si>
  <si>
    <t>morphological_extraction_reduplicated_root_extraction_00103</t>
  </si>
  <si>
    <t>morphological_extraction_reduplicated_root_extraction_00104</t>
  </si>
  <si>
    <t>morphological_extraction_reduplicated_root_extraction_00105</t>
  </si>
  <si>
    <t>morphological_extraction_reduplicated_root_extraction_00106</t>
  </si>
  <si>
    <t>morphological_extraction_reduplicated_root_extraction_00107</t>
  </si>
  <si>
    <t>morphological_extraction_reduplicated_root_extraction_00108</t>
  </si>
  <si>
    <t>morphological_extraction_reduplicated_root_extraction_00109</t>
  </si>
  <si>
    <t>morphological_extraction_reduplicated_root_extraction_00110</t>
  </si>
  <si>
    <t>morphological_extraction_reduplicated_root_extraction_00111</t>
  </si>
  <si>
    <t>morphological_extraction_reduplicated_root_extraction_00112</t>
  </si>
  <si>
    <t>morphological_extraction_reduplicated_root_extraction_00113</t>
  </si>
  <si>
    <t>morphological_extraction_reduplicated_root_extraction_00114</t>
  </si>
  <si>
    <t>morphological_extraction_reduplicated_root_extraction_00115</t>
  </si>
  <si>
    <t>morphological_extraction_reduplicated_root_extraction_00116</t>
  </si>
  <si>
    <t>morphological_extraction_reduplicated_root_extraction_00117</t>
  </si>
  <si>
    <t>morphological_extraction_reduplicated_root_extraction_00118</t>
  </si>
  <si>
    <t>morphological_extraction_reduplicated_root_extraction_00119</t>
  </si>
  <si>
    <t>morphological_extraction_reduplicated_root_extraction_00120</t>
  </si>
  <si>
    <t>morphological_extraction_reduplicated_root_extraction_00121</t>
  </si>
  <si>
    <t>morphological_extraction_reduplicated_root_extraction_00122</t>
  </si>
  <si>
    <t>morphological_extraction_reduplicated_root_extraction_00123</t>
  </si>
  <si>
    <t>morphological_extraction_reduplicated_root_extraction_00124</t>
  </si>
  <si>
    <t>morphological_extraction_reduplicated_root_extraction_00125</t>
  </si>
  <si>
    <t>morphological_extraction_reduplicated_root_extraction_00126</t>
  </si>
  <si>
    <t>morphological_extraction_reduplicated_root_extraction_00127</t>
  </si>
  <si>
    <t>morphological_extraction_reduplicated_root_extraction_00128</t>
  </si>
  <si>
    <t>morphological_extraction_reduplicated_root_extraction_00129</t>
  </si>
  <si>
    <t>morphological_extraction_reduplicated_root_extraction_00130</t>
  </si>
  <si>
    <t>morphological_extraction_reduplicated_root_extraction_00131</t>
  </si>
  <si>
    <t>morphological_extraction_reduplicated_root_extraction_00132</t>
  </si>
  <si>
    <t>morphological_extraction_reduplicated_root_extraction_00133</t>
  </si>
  <si>
    <t>morphological_extraction_reduplicated_root_extraction_00134</t>
  </si>
  <si>
    <t>morphological_extraction_reduplicated_root_extraction_00135</t>
  </si>
  <si>
    <t>morphological_extraction_reduplicated_root_extraction_00136</t>
  </si>
  <si>
    <t>morphological_extraction_reduplicated_root_extraction_00137</t>
  </si>
  <si>
    <t>morphological_extraction_reduplicated_root_extraction_00138</t>
  </si>
  <si>
    <t>morphological_extraction_reduplicated_root_extraction_00139</t>
  </si>
  <si>
    <t>morphological_extraction_reduplicated_root_extraction_00140</t>
  </si>
  <si>
    <t>morphological_extraction_reduplicated_root_extraction_00141</t>
  </si>
  <si>
    <t>morphological_extraction_reduplicated_root_extraction_00142</t>
  </si>
  <si>
    <t>morphological_extraction_reduplicated_root_extraction_00143</t>
  </si>
  <si>
    <t>morphological_extraction_reduplicated_root_extraction_00144</t>
  </si>
  <si>
    <t>morphological_extraction_reduplicated_root_extraction_00145</t>
  </si>
  <si>
    <t>morphological_extraction_reduplicated_root_extraction_00146</t>
  </si>
  <si>
    <t>morphological_extraction_reduplicated_root_extraction_00147</t>
  </si>
  <si>
    <t>morphological_extraction_reduplicated_root_extraction_00148</t>
  </si>
  <si>
    <t>morphological_extraction_reduplicated_root_extraction_00149</t>
  </si>
  <si>
    <t>morphological_extraction_reduplicated_root_extraction_00150</t>
  </si>
  <si>
    <t>morphological_extraction_reduplicated_root_extraction_00151</t>
  </si>
  <si>
    <t>morphological_extraction_reduplicated_root_extraction_00152</t>
  </si>
  <si>
    <t>morphological_extraction_reduplicated_root_extraction_00153</t>
  </si>
  <si>
    <t>morphological_extraction_reduplicated_root_extraction_00154</t>
  </si>
  <si>
    <t>morphological_extraction_reduplicated_root_extraction_00155</t>
  </si>
  <si>
    <t>morphological_extraction_reduplicated_root_extraction_00156</t>
  </si>
  <si>
    <t>morphological_extraction_reduplicated_root_extraction_00157</t>
  </si>
  <si>
    <t>morphological_extraction_reduplicated_root_extraction_00158</t>
  </si>
  <si>
    <t>morphological_extraction_reduplicated_root_extraction_00159</t>
  </si>
  <si>
    <t>morphological_extraction_reduplicated_root_extraction_00160</t>
  </si>
  <si>
    <t>morphological_extraction_reduplicated_root_extraction_00161</t>
  </si>
  <si>
    <t>morphological_extraction_reduplicated_root_extraction_00162</t>
  </si>
  <si>
    <t>morphological_extraction_reduplicated_root_extraction_00163</t>
  </si>
  <si>
    <t>morphological_extraction_reduplicated_root_extraction_00164</t>
  </si>
  <si>
    <t>morphological_extraction_reduplicated_root_extraction_00165</t>
  </si>
  <si>
    <t>morphological_extraction_reduplicated_root_extraction_00166</t>
  </si>
  <si>
    <t>morphological_extraction_reduplicated_root_extraction_00167</t>
  </si>
  <si>
    <t>morphological_extraction_reduplicated_root_extraction_00168</t>
  </si>
  <si>
    <t>morphological_extraction_reduplicated_root_extraction_00169</t>
  </si>
  <si>
    <t>morphological_extraction_reduplicated_root_extraction_00170</t>
  </si>
  <si>
    <t>morphological_extraction_reduplicated_root_extraction_00171</t>
  </si>
  <si>
    <t>morphological_extraction_reduplicated_root_extraction_00172</t>
  </si>
  <si>
    <t>morphological_extraction_reduplicated_root_extraction_00173</t>
  </si>
  <si>
    <t>morphological_extraction_reduplicated_root_extraction_00174</t>
  </si>
  <si>
    <t>morphological_extraction_reduplicated_root_extraction_00175</t>
  </si>
  <si>
    <t>morphological_extraction_reduplicated_root_extraction_00176</t>
  </si>
  <si>
    <t>morphological_extraction_reduplicated_root_extraction_00177</t>
  </si>
  <si>
    <t>morphological_extraction_reduplicated_root_extraction_00178</t>
  </si>
  <si>
    <t>morphological_extraction_reduplicated_root_extraction_00179</t>
  </si>
  <si>
    <t>morphological_extraction_reduplicated_root_extraction_00180</t>
  </si>
  <si>
    <t>reduplicated_word_root_extraction</t>
  </si>
  <si>
    <t>A reduplicant is a part of a word that is repeated during the morphological process of reduplication. Identify the reduplicant in the word \"mabubuti\". Write \"none\" if there is none.</t>
  </si>
  <si>
    <t>Ang reduplikant ay ang bahagi ng salita na kinokopya kapag isinasagawa ang prosesong morpolohikal na reduplikasyon. Tukuyin ang reduplikant sa salitang \"mabubuti\". Isulat ang \"none\" kung wala.</t>
  </si>
  <si>
    <t>A reduplicant is a part of a word that is repeated during the morphological process of reduplication. Identify the reduplicant in the word \"makikisig\". Write \"none\" if there is none.</t>
  </si>
  <si>
    <t>Ang reduplikant ay ang bahagi ng salita na kinokopya kapag isinasagawa ang prosesong morpolohikal na reduplikasyon. Tukuyin ang reduplikant sa salitang \"makikisig\". Isulat ang \"none\" kung wala.</t>
  </si>
  <si>
    <t>A reduplicant is a part of a word that is repeated during the morphological process of reduplication. Identify the reduplicant in the word \"magaganda\". Write \"none\" if there is none.</t>
  </si>
  <si>
    <t>Ang reduplikant ay ang bahagi ng salita na kinokopya kapag isinasagawa ang prosesong morpolohikal na reduplikasyon. Tukuyin ang reduplikant sa salitang \"magaganda\". Isulat ang \"none\" kung wala.</t>
  </si>
  <si>
    <t>A reduplicant is a part of a word that is repeated during the morphological process of reduplication. Identify the reduplicant in the word \"masisipag\". Write \"none\" if there is none.</t>
  </si>
  <si>
    <t>Ang reduplikant ay ang bahagi ng salita na kinokopya kapag isinasagawa ang prosesong morpolohikal na reduplikasyon. Tukuyin ang reduplikant sa salitang \"masisipag\". Isulat ang \"none\" kung wala.</t>
  </si>
  <si>
    <t>A reduplicant is a part of a word that is repeated during the morphological process of reduplication. Identify the reduplicant in the word \"matatangkad\". Write \"none\" if there is none.</t>
  </si>
  <si>
    <t>Ang reduplikant ay ang bahagi ng salita na kinokopya kapag isinasagawa ang prosesong morpolohikal na reduplikasyon. Tukuyin ang reduplikant sa salitang \"matatangkad\". Isulat ang \"none\" kung wala.</t>
  </si>
  <si>
    <t>A reduplicant is a part of a word that is repeated during the morphological process of reduplication. Identify the reduplicant in the word \"matatalino\". Write \"none\" if there is none.</t>
  </si>
  <si>
    <t>Ang reduplikant ay ang bahagi ng salita na kinokopya kapag isinasagawa ang prosesong morpolohikal na reduplikasyon. Tukuyin ang reduplikant sa salitang \"matatalino\". Isulat ang \"none\" kung wala.</t>
  </si>
  <si>
    <t>A reduplicant is a part of a word that is repeated during the morphological process of reduplication. Identify the reduplicant in the word \"masasarap\". Write \"none\" if there is none.</t>
  </si>
  <si>
    <t>Ang reduplikant ay ang bahagi ng salita na kinokopya kapag isinasagawa ang prosesong morpolohikal na reduplikasyon. Tukuyin ang reduplikant sa salitang \"masasarap\". Isulat ang \"none\" kung wala.</t>
  </si>
  <si>
    <t>A reduplicant is a part of a word that is repeated during the morphological process of reduplication. Identify the reduplicant in the word \"masisikip\". Write \"none\" if there is none.</t>
  </si>
  <si>
    <t>Ang reduplikant ay ang bahagi ng salita na kinokopya kapag isinasagawa ang prosesong morpolohikal na reduplikasyon. Tukuyin ang reduplikant sa salitang \"masisikip\". Isulat ang \"none\" kung wala.</t>
  </si>
  <si>
    <t>A reduplicant is a part of a word that is repeated during the morphological process of reduplication. Identify the reduplicant in the word \"maluluwag\". Write \"none\" if there is none.</t>
  </si>
  <si>
    <t>Ang reduplikant ay ang bahagi ng salita na kinokopya kapag isinasagawa ang prosesong morpolohikal na reduplikasyon. Tukuyin ang reduplikant sa salitang \"maluluwag\". Isulat ang \"none\" kung wala.</t>
  </si>
  <si>
    <t>A reduplicant is a part of a word that is repeated during the morphological process of reduplication. Identify the reduplicant in the word \"matitingkad\". Write \"none\" if there is none.</t>
  </si>
  <si>
    <t>Ang reduplikant ay ang bahagi ng salita na kinokopya kapag isinasagawa ang prosesong morpolohikal na reduplikasyon. Tukuyin ang reduplikant sa salitang \"matitingkad\". Isulat ang \"none\" kung wala.</t>
  </si>
  <si>
    <t>A reduplicant is a part of a word that is repeated during the morphological process of reduplication. Identify the reduplicant in the word \"mapupusyaw\". Write \"none\" if there is none.</t>
  </si>
  <si>
    <t>Ang reduplikant ay ang bahagi ng salita na kinokopya kapag isinasagawa ang prosesong morpolohikal na reduplikasyon. Tukuyin ang reduplikant sa salitang \"mapupusyaw\". Isulat ang \"none\" kung wala.</t>
  </si>
  <si>
    <t>A reduplicant is a part of a word that is repeated during the morphological process of reduplication. Identify the reduplicant in the word \"magkakasinglaki\". Write \"none\" if there is none.</t>
  </si>
  <si>
    <t>Ang reduplikant ay ang bahagi ng salita na kinokopya kapag isinasagawa ang prosesong morpolohikal na reduplikasyon. Tukuyin ang reduplikant sa salitang \"magkakasinglaki\". Isulat ang \"none\" kung wala.</t>
  </si>
  <si>
    <t>A reduplicant is a part of a word that is repeated during the morphological process of reduplication. Identify the reduplicant in the word \"magkakasinghaba\". Write \"none\" if there is none.</t>
  </si>
  <si>
    <t>Ang reduplikant ay ang bahagi ng salita na kinokopya kapag isinasagawa ang prosesong morpolohikal na reduplikasyon. Tukuyin ang reduplikant sa salitang \"magkakasinghaba\". Isulat ang \"none\" kung wala.</t>
  </si>
  <si>
    <t>A reduplicant is a part of a word that is repeated during the morphological process of reduplication. Identify the reduplicant in the word \"magkakasingliit\". Write \"none\" if there is none.</t>
  </si>
  <si>
    <t>Ang reduplikant ay ang bahagi ng salita na kinokopya kapag isinasagawa ang prosesong morpolohikal na reduplikasyon. Tukuyin ang reduplikant sa salitang \"magkakasingliit\". Isulat ang \"none\" kung wala.</t>
  </si>
  <si>
    <t>A reduplicant is a part of a word that is repeated during the morphological process of reduplication. Identify the reduplicant in the word \"magkakasingtangkad\". Write \"none\" if there is none.</t>
  </si>
  <si>
    <t>Ang reduplikant ay ang bahagi ng salita na kinokopya kapag isinasagawa ang prosesong morpolohikal na reduplikasyon. Tukuyin ang reduplikant sa salitang \"magkakasingtangkad\". Isulat ang \"none\" kung wala.</t>
  </si>
  <si>
    <t>A reduplicant is a part of a word that is repeated during the morphological process of reduplication. Identify the reduplicant in the word \"magkakasimbigat\". Write \"none\" if there is none.</t>
  </si>
  <si>
    <t>Ang reduplikant ay ang bahagi ng salita na kinokopya kapag isinasagawa ang prosesong morpolohikal na reduplikasyon. Tukuyin ang reduplikant sa salitang \"magkakasimbigat\". Isulat ang \"none\" kung wala.</t>
  </si>
  <si>
    <t>A reduplicant is a part of a word that is repeated during the morphological process of reduplication. Identify the reduplicant in the word \"magkakasindalas\". Write \"none\" if there is none.</t>
  </si>
  <si>
    <t>Ang reduplikant ay ang bahagi ng salita na kinokopya kapag isinasagawa ang prosesong morpolohikal na reduplikasyon. Tukuyin ang reduplikant sa salitang \"magkakasindalas\". Isulat ang \"none\" kung wala.</t>
  </si>
  <si>
    <t>A reduplicant is a part of a word that is repeated during the morphological process of reduplication. Identify the reduplicant in the word \"magkakasimpayat\". Write \"none\" if there is none.</t>
  </si>
  <si>
    <t>Ang reduplikant ay ang bahagi ng salita na kinokopya kapag isinasagawa ang prosesong morpolohikal na reduplikasyon. Tukuyin ang reduplikant sa salitang \"magkakasimpayat\". Isulat ang \"none\" kung wala.</t>
  </si>
  <si>
    <t>A reduplicant is a part of a word that is repeated during the morphological process of reduplication. Identify the reduplicant in the word \"magkakasintaba\". Write \"none\" if there is none.</t>
  </si>
  <si>
    <t>Ang reduplikant ay ang bahagi ng salita na kinokopya kapag isinasagawa ang prosesong morpolohikal na reduplikasyon. Tukuyin ang reduplikant sa salitang \"magkakasintaba\". Isulat ang \"none\" kung wala.</t>
  </si>
  <si>
    <t>A reduplicant is a part of a word that is repeated during the morphological process of reduplication. Identify the reduplicant in the word \"magkakalaki\". Write \"none\" if there is none.</t>
  </si>
  <si>
    <t>Ang reduplikant ay ang bahagi ng salita na kinokopya kapag isinasagawa ang prosesong morpolohikal na reduplikasyon. Tukuyin ang reduplikant sa salitang \"magkakalaki\". Isulat ang \"none\" kung wala.</t>
  </si>
  <si>
    <t>A reduplicant is a part of a word that is repeated during the morphological process of reduplication. Identify the reduplicant in the word \"magkakaliit\". Write \"none\" if there is none.</t>
  </si>
  <si>
    <t>Ang reduplikant ay ang bahagi ng salita na kinokopya kapag isinasagawa ang prosesong morpolohikal na reduplikasyon. Tukuyin ang reduplikant sa salitang \"magkakaliit\". Isulat ang \"none\" kung wala.</t>
  </si>
  <si>
    <t>A reduplicant is a part of a word that is repeated during the morphological process of reduplication. Identify the reduplicant in the word \"magkakatulad\". Write \"none\" if there is none.</t>
  </si>
  <si>
    <t>Ang reduplikant ay ang bahagi ng salita na kinokopya kapag isinasagawa ang prosesong morpolohikal na reduplikasyon. Tukuyin ang reduplikant sa salitang \"magkakatulad\". Isulat ang \"none\" kung wala.</t>
  </si>
  <si>
    <t>A reduplicant is a part of a word that is repeated during the morphological process of reduplication. Identify the reduplicant in the word \"magkakaiba\". Write \"none\" if there is none.</t>
  </si>
  <si>
    <t>Ang reduplikant ay ang bahagi ng salita na kinokopya kapag isinasagawa ang prosesong morpolohikal na reduplikasyon. Tukuyin ang reduplikant sa salitang \"magkakaiba\". Isulat ang \"none\" kung wala.</t>
  </si>
  <si>
    <t>A reduplicant is a part of a word that is repeated during the morphological process of reduplication. Identify the reduplicant in the word \"magkakatono\". Write \"none\" if there is none.</t>
  </si>
  <si>
    <t>Ang reduplikant ay ang bahagi ng salita na kinokopya kapag isinasagawa ang prosesong morpolohikal na reduplikasyon. Tukuyin ang reduplikant sa salitang \"magkakatono\". Isulat ang \"none\" kung wala.</t>
  </si>
  <si>
    <t>A reduplicant is a part of a word that is repeated during the morphological process of reduplication. Identify the reduplicant in the word \"kakaunti\". Write \"none\" if there is none.</t>
  </si>
  <si>
    <t>Ang reduplikant ay ang bahagi ng salita na kinokopya kapag isinasagawa ang prosesong morpolohikal na reduplikasyon. Tukuyin ang reduplikant sa salitang \"kakaunti\". Isulat ang \"none\" kung wala.</t>
  </si>
  <si>
    <t>A reduplicant is a part of a word that is repeated during the morphological process of reduplication. Identify the reduplicant in the word \"mumunti\". Write \"none\" if there is none.</t>
  </si>
  <si>
    <t>Ang reduplikant ay ang bahagi ng salita na kinokopya kapag isinasagawa ang prosesong morpolohikal na reduplikasyon. Tukuyin ang reduplikant sa salitang \"mumunti\". Isulat ang \"none\" kung wala.</t>
  </si>
  <si>
    <t>A reduplicant is a part of a word that is repeated during the morphological process of reduplication. Identify the reduplicant in the word \"mag-aama\". Write \"none\" if there is none.</t>
  </si>
  <si>
    <t>Ang reduplikant ay ang bahagi ng salita na kinokopya kapag isinasagawa ang prosesong morpolohikal na reduplikasyon. Tukuyin ang reduplikant sa salitang \"mag-aama\". Isulat ang \"none\" kung wala.</t>
  </si>
  <si>
    <t>A reduplicant is a part of a word that is repeated during the morphological process of reduplication. Identify the reduplicant in the word \"mag-iina\". Write \"none\" if there is none.</t>
  </si>
  <si>
    <t>Ang reduplikant ay ang bahagi ng salita na kinokopya kapag isinasagawa ang prosesong morpolohikal na reduplikasyon. Tukuyin ang reduplikant sa salitang \"mag-iina\". Isulat ang \"none\" kung wala.</t>
  </si>
  <si>
    <t>A reduplicant is a part of a word that is repeated during the morphological process of reduplication. Identify the reduplicant in the word \"magkakapatid\". Write \"none\" if there is none.</t>
  </si>
  <si>
    <t>Ang reduplikant ay ang bahagi ng salita na kinokopya kapag isinasagawa ang prosesong morpolohikal na reduplikasyon. Tukuyin ang reduplikant sa salitang \"magkakapatid\". Isulat ang \"none\" kung wala.</t>
  </si>
  <si>
    <t>A reduplicant is a part of a word that is repeated during the morphological process of reduplication. Identify the reduplicant in the word \"magtitito\". Write \"none\" if there is none.</t>
  </si>
  <si>
    <t>Ang reduplikant ay ang bahagi ng salita na kinokopya kapag isinasagawa ang prosesong morpolohikal na reduplikasyon. Tukuyin ang reduplikant sa salitang \"magtitito\". Isulat ang \"none\" kung wala.</t>
  </si>
  <si>
    <t>A reduplicant is a part of a word that is repeated during the morphological process of reduplication. Identify the reduplicant in the word \"magkukuya\". Write \"none\" if there is none.</t>
  </si>
  <si>
    <t>Ang reduplikant ay ang bahagi ng salita na kinokopya kapag isinasagawa ang prosesong morpolohikal na reduplikasyon. Tukuyin ang reduplikant sa salitang \"magkukuya\". Isulat ang \"none\" kung wala.</t>
  </si>
  <si>
    <t>A reduplicant is a part of a word that is repeated during the morphological process of reduplication. Identify the reduplicant in the word \"mag-aate\". Write \"none\" if there is none.</t>
  </si>
  <si>
    <t>Ang reduplikant ay ang bahagi ng salita na kinokopya kapag isinasagawa ang prosesong morpolohikal na reduplikasyon. Tukuyin ang reduplikant sa salitang \"mag-aate\". Isulat ang \"none\" kung wala.</t>
  </si>
  <si>
    <t>A reduplicant is a part of a word that is repeated during the morphological process of reduplication. Identify the reduplicant in the word \"magtitita\". Write \"none\" if there is none.</t>
  </si>
  <si>
    <t>Ang reduplikant ay ang bahagi ng salita na kinokopya kapag isinasagawa ang prosesong morpolohikal na reduplikasyon. Tukuyin ang reduplikant sa salitang \"magtitita\". Isulat ang \"none\" kung wala.</t>
  </si>
  <si>
    <t>A reduplicant is a part of a word that is repeated during the morphological process of reduplication. Identify the reduplicant in the word \"magnininong\". Write \"none\" if there is none.</t>
  </si>
  <si>
    <t>Ang reduplikant ay ang bahagi ng salita na kinokopya kapag isinasagawa ang prosesong morpolohikal na reduplikasyon. Tukuyin ang reduplikant sa salitang \"magnininong\". Isulat ang \"none\" kung wala.</t>
  </si>
  <si>
    <t>A reduplicant is a part of a word that is repeated during the morphological process of reduplication. Identify the reduplicant in the word \"magkukumare\". Write \"none\" if there is none.</t>
  </si>
  <si>
    <t>Ang reduplikant ay ang bahagi ng salita na kinokopya kapag isinasagawa ang prosesong morpolohikal na reduplikasyon. Tukuyin ang reduplikant sa salitang \"magkukumare\". Isulat ang \"none\" kung wala.</t>
  </si>
  <si>
    <t>A reduplicant is a part of a word that is repeated during the morphological process of reduplication. Identify the reduplicant in the word \"iisa\". Write \"none\" if there is none.</t>
  </si>
  <si>
    <t>Ang reduplikant ay ang bahagi ng salita na kinokopya kapag isinasagawa ang prosesong morpolohikal na reduplikasyon. Tukuyin ang reduplikant sa salitang \"iisa\". Isulat ang \"none\" kung wala.</t>
  </si>
  <si>
    <t>A reduplicant is a part of a word that is repeated during the morphological process of reduplication. Identify the reduplicant in the word \"titigalawa\". Write \"none\" if there is none.</t>
  </si>
  <si>
    <t>Ang reduplikant ay ang bahagi ng salita na kinokopya kapag isinasagawa ang prosesong morpolohikal na reduplikasyon. Tukuyin ang reduplikant sa salitang \"titigalawa\". Isulat ang \"none\" kung wala.</t>
  </si>
  <si>
    <t>A reduplicant is a part of a word that is repeated during the morphological process of reduplication. Identify the reduplicant in the word \"miminsan\". Write \"none\" if there is none.</t>
  </si>
  <si>
    <t>Ang reduplikant ay ang bahagi ng salita na kinokopya kapag isinasagawa ang prosesong morpolohikal na reduplikasyon. Tukuyin ang reduplikant sa salitang \"miminsan\". Isulat ang \"none\" kung wala.</t>
  </si>
  <si>
    <t>A reduplicant is a part of a word that is repeated during the morphological process of reduplication. Identify the reduplicant in the word \"pipiso\". Write \"none\" if there is none.</t>
  </si>
  <si>
    <t>Ang reduplikant ay ang bahagi ng salita na kinokopya kapag isinasagawa ang prosesong morpolohikal na reduplikasyon. Tukuyin ang reduplikant sa salitang \"pipiso\". Isulat ang \"none\" kung wala.</t>
  </si>
  <si>
    <t>A reduplicant is a part of a word that is repeated during the morphological process of reduplication. Identify the reduplicant in the word \"tigte-tres\". Write \"none\" if there is none.</t>
  </si>
  <si>
    <t>Ang reduplikant ay ang bahagi ng salita na kinokopya kapag isinasagawa ang prosesong morpolohikal na reduplikasyon. Tukuyin ang reduplikant sa salitang \"tigte-tres\". Isulat ang \"none\" kung wala.</t>
  </si>
  <si>
    <t>A reduplicant is a part of a word that is repeated during the morphological process of reduplication. Identify the reduplicant in the word \"sasampu\". Write \"none\" if there is none.</t>
  </si>
  <si>
    <t>Ang reduplikant ay ang bahagi ng salita na kinokopya kapag isinasagawa ang prosesong morpolohikal na reduplikasyon. Tukuyin ang reduplikant sa salitang \"sasampu\". Isulat ang \"none\" kung wala.</t>
  </si>
  <si>
    <t>A reduplicant is a part of a word that is repeated during the morphological process of reduplication. Identify the reduplicant in the word \"tetrese\". Write \"none\" if there is none.</t>
  </si>
  <si>
    <t>Ang reduplikant ay ang bahagi ng salita na kinokopya kapag isinasagawa ang prosesong morpolohikal na reduplikasyon. Tukuyin ang reduplikant sa salitang \"tetrese\". Isulat ang \"none\" kung wala.</t>
  </si>
  <si>
    <t>A reduplicant is a part of a word that is repeated during the morphological process of reduplication. Identify the reduplicant in the word \"pupunta\". Write \"none\" if there is none.</t>
  </si>
  <si>
    <t>Ang reduplikant ay ang bahagi ng salita na kinokopya kapag isinasagawa ang prosesong morpolohikal na reduplikasyon. Tukuyin ang reduplikant sa salitang \"pupunta\". Isulat ang \"none\" kung wala.</t>
  </si>
  <si>
    <t>A reduplicant is a part of a word that is repeated during the morphological process of reduplication. Identify the reduplicant in the word \"kakain\". Write \"none\" if there is none.</t>
  </si>
  <si>
    <t>Ang reduplikant ay ang bahagi ng salita na kinokopya kapag isinasagawa ang prosesong morpolohikal na reduplikasyon. Tukuyin ang reduplikant sa salitang \"kakain\". Isulat ang \"none\" kung wala.</t>
  </si>
  <si>
    <t>A reduplicant is a part of a word that is repeated during the morphological process of reduplication. Identify the reduplicant in the word \"sasayaw\". Write \"none\" if there is none.</t>
  </si>
  <si>
    <t>Ang reduplikant ay ang bahagi ng salita na kinokopya kapag isinasagawa ang prosesong morpolohikal na reduplikasyon. Tukuyin ang reduplikant sa salitang \"sasayaw\". Isulat ang \"none\" kung wala.</t>
  </si>
  <si>
    <t>A reduplicant is a part of a word that is repeated during the morphological process of reduplication. Identify the reduplicant in the word \"kakanta\". Write \"none\" if there is none.</t>
  </si>
  <si>
    <t>Ang reduplikant ay ang bahagi ng salita na kinokopya kapag isinasagawa ang prosesong morpolohikal na reduplikasyon. Tukuyin ang reduplikant sa salitang \"kakanta\". Isulat ang \"none\" kung wala.</t>
  </si>
  <si>
    <t>A reduplicant is a part of a word that is repeated during the morphological process of reduplication. Identify the reduplicant in the word \"aawit\". Write \"none\" if there is none.</t>
  </si>
  <si>
    <t>Ang reduplikant ay ang bahagi ng salita na kinokopya kapag isinasagawa ang prosesong morpolohikal na reduplikasyon. Tukuyin ang reduplikant sa salitang \"aawit\". Isulat ang \"none\" kung wala.</t>
  </si>
  <si>
    <t>A reduplicant is a part of a word that is repeated during the morphological process of reduplication. Identify the reduplicant in the word \"susulat\". Write \"none\" if there is none.</t>
  </si>
  <si>
    <t>Ang reduplikant ay ang bahagi ng salita na kinokopya kapag isinasagawa ang prosesong morpolohikal na reduplikasyon. Tukuyin ang reduplikant sa salitang \"susulat\". Isulat ang \"none\" kung wala.</t>
  </si>
  <si>
    <t>A reduplicant is a part of a word that is repeated during the morphological process of reduplication. Identify the reduplicant in the word \"nagwawalis\". Write \"none\" if there is none.</t>
  </si>
  <si>
    <t>Ang reduplikant ay ang bahagi ng salita na kinokopya kapag isinasagawa ang prosesong morpolohikal na reduplikasyon. Tukuyin ang reduplikant sa salitang \"nagwawalis\". Isulat ang \"none\" kung wala.</t>
  </si>
  <si>
    <t>A reduplicant is a part of a word that is repeated during the morphological process of reduplication. Identify the reduplicant in the word \"aalis\". Write \"none\" if there is none.</t>
  </si>
  <si>
    <t>Ang reduplikant ay ang bahagi ng salita na kinokopya kapag isinasagawa ang prosesong morpolohikal na reduplikasyon. Tukuyin ang reduplikant sa salitang \"aalis\". Isulat ang \"none\" kung wala.</t>
  </si>
  <si>
    <t>A reduplicant is a part of a word that is repeated during the morphological process of reduplication. Identify the reduplicant in the word \"tatakbo\". Write \"none\" if there is none.</t>
  </si>
  <si>
    <t>Ang reduplikant ay ang bahagi ng salita na kinokopya kapag isinasagawa ang prosesong morpolohikal na reduplikasyon. Tukuyin ang reduplikant sa salitang \"tatakbo\". Isulat ang \"none\" kung wala.</t>
  </si>
  <si>
    <t>A reduplicant is a part of a word that is repeated during the morphological process of reduplication. Identify the reduplicant in the word \"tumataob\". Write \"none\" if there is none.</t>
  </si>
  <si>
    <t>Ang reduplikant ay ang bahagi ng salita na kinokopya kapag isinasagawa ang prosesong morpolohikal na reduplikasyon. Tukuyin ang reduplikant sa salitang \"tumataob\". Isulat ang \"none\" kung wala.</t>
  </si>
  <si>
    <t>A reduplicant is a part of a word that is repeated during the morphological process of reduplication. Identify the reduplicant in the word \"ninanamnam\". Write \"none\" if there is none.</t>
  </si>
  <si>
    <t>Ang reduplikant ay ang bahagi ng salita na kinokopya kapag isinasagawa ang prosesong morpolohikal na reduplikasyon. Tukuyin ang reduplikant sa salitang \"ninanamnam\". Isulat ang \"none\" kung wala.</t>
  </si>
  <si>
    <t>A reduplicant is a part of a word that is repeated during the morphological process of reduplication. Identify the reduplicant in the word \"kalalaba\". Write \"none\" if there is none.</t>
  </si>
  <si>
    <t>Ang reduplikant ay ang bahagi ng salita na kinokopya kapag isinasagawa ang prosesong morpolohikal na reduplikasyon. Tukuyin ang reduplikant sa salitang \"kalalaba\". Isulat ang \"none\" kung wala.</t>
  </si>
  <si>
    <t>A reduplicant is a part of a word that is repeated during the morphological process of reduplication. Identify the reduplicant in the word \"kakakain\". Write \"none\" if there is none.</t>
  </si>
  <si>
    <t>Ang reduplikant ay ang bahagi ng salita na kinokopya kapag isinasagawa ang prosesong morpolohikal na reduplikasyon. Tukuyin ang reduplikant sa salitang \"kakakain\". Isulat ang \"none\" kung wala.</t>
  </si>
  <si>
    <t>A reduplicant is a part of a word that is repeated during the morphological process of reduplication. Identify the reduplicant in the word \"kabababa\". Write \"none\" if there is none.</t>
  </si>
  <si>
    <t>Ang reduplikant ay ang bahagi ng salita na kinokopya kapag isinasagawa ang prosesong morpolohikal na reduplikasyon. Tukuyin ang reduplikant sa salitang \"kabababa\". Isulat ang \"none\" kung wala.</t>
  </si>
  <si>
    <t>A reduplicant is a part of a word that is repeated during the morphological process of reduplication. Identify the reduplicant in the word \"kasasaing\". Write \"none\" if there is none.</t>
  </si>
  <si>
    <t>Ang reduplikant ay ang bahagi ng salita na kinokopya kapag isinasagawa ang prosesong morpolohikal na reduplikasyon. Tukuyin ang reduplikant sa salitang \"kasasaing\". Isulat ang \"none\" kung wala.</t>
  </si>
  <si>
    <t>A reduplicant is a part of a word that is repeated during the morphological process of reduplication. Identify the reduplicant in the word \"kasasampay\". Write \"none\" if there is none.</t>
  </si>
  <si>
    <t>Ang reduplikant ay ang bahagi ng salita na kinokopya kapag isinasagawa ang prosesong morpolohikal na reduplikasyon. Tukuyin ang reduplikant sa salitang \"kasasampay\". Isulat ang \"none\" kung wala.</t>
  </si>
  <si>
    <t>A reduplicant is a part of a word that is repeated during the morphological process of reduplication. Identify the reduplicant in the word \"kalalakad\". Write \"none\" if there is none.</t>
  </si>
  <si>
    <t>Ang reduplikant ay ang bahagi ng salita na kinokopya kapag isinasagawa ang prosesong morpolohikal na reduplikasyon. Tukuyin ang reduplikant sa salitang \"kalalakad\". Isulat ang \"none\" kung wala.</t>
  </si>
  <si>
    <t>A reduplicant is a part of a word that is repeated during the morphological process of reduplication. Identify the reduplicant in the word \"kaaalis\". Write \"none\" if there is none.</t>
  </si>
  <si>
    <t>Ang reduplikant ay ang bahagi ng salita na kinokopya kapag isinasagawa ang prosesong morpolohikal na reduplikasyon. Tukuyin ang reduplikant sa salitang \"kaaalis\". Isulat ang \"none\" kung wala.</t>
  </si>
  <si>
    <t>A reduplicant is a part of a word that is repeated during the morphological process of reduplication. Identify the reduplicant in the word \"kauuwi\". Write \"none\" if there is none.</t>
  </si>
  <si>
    <t>Ang reduplikant ay ang bahagi ng salita na kinokopya kapag isinasagawa ang prosesong morpolohikal na reduplikasyon. Tukuyin ang reduplikant sa salitang \"kauuwi\". Isulat ang \"none\" kung wala.</t>
  </si>
  <si>
    <t>A reduplicant is a part of a word that is repeated during the morphological process of reduplication. Identify the reduplicant in the word \"sila-sila\". Write \"none\" if there is none.</t>
  </si>
  <si>
    <t>Ang reduplikant ay ang bahagi ng salita na kinokopya kapag isinasagawa ang prosesong morpolohikal na reduplikasyon. Tukuyin ang reduplikant sa salitang \"sila-sila\". Isulat ang \"none\" kung wala.</t>
  </si>
  <si>
    <t>A reduplicant is a part of a word that is repeated during the morphological process of reduplication. Identify the reduplicant in the word \"kaniya-kaniya\". Write \"none\" if there is none.</t>
  </si>
  <si>
    <t>Ang reduplikant ay ang bahagi ng salita na kinokopya kapag isinasagawa ang prosesong morpolohikal na reduplikasyon. Tukuyin ang reduplikant sa salitang \"kaniya-kaniya\". Isulat ang \"none\" kung wala.</t>
  </si>
  <si>
    <t>A reduplicant is a part of a word that is repeated during the morphological process of reduplication. Identify the reduplicant in the word \"tayo-tayo\". Write \"none\" if there is none.</t>
  </si>
  <si>
    <t>Ang reduplikant ay ang bahagi ng salita na kinokopya kapag isinasagawa ang prosesong morpolohikal na reduplikasyon. Tukuyin ang reduplikant sa salitang \"tayo-tayo\". Isulat ang \"none\" kung wala.</t>
  </si>
  <si>
    <t>A reduplicant is a part of a word that is repeated during the morphological process of reduplication. Identify the reduplicant in the word \"kami-kami\". Write \"none\" if there is none.</t>
  </si>
  <si>
    <t>Ang reduplikant ay ang bahagi ng salita na kinokopya kapag isinasagawa ang prosesong morpolohikal na reduplikasyon. Tukuyin ang reduplikant sa salitang \"kami-kami\". Isulat ang \"none\" kung wala.</t>
  </si>
  <si>
    <t>A reduplicant is a part of a word that is repeated during the morphological process of reduplication. Identify the reduplicant in the word \"kayo-kayo\". Write \"none\" if there is none.</t>
  </si>
  <si>
    <t>Ang reduplikant ay ang bahagi ng salita na kinokopya kapag isinasagawa ang prosesong morpolohikal na reduplikasyon. Tukuyin ang reduplikant sa salitang \"kayo-kayo\". Isulat ang \"none\" kung wala.</t>
  </si>
  <si>
    <t>A reduplicant is a part of a word that is repeated during the morphological process of reduplication. Identify the reduplicant in the word \"ano-ano\". Write \"none\" if there is none.</t>
  </si>
  <si>
    <t>Ang reduplikant ay ang bahagi ng salita na kinokopya kapag isinasagawa ang prosesong morpolohikal na reduplikasyon. Tukuyin ang reduplikant sa salitang \"ano-ano\". Isulat ang \"none\" kung wala.</t>
  </si>
  <si>
    <t>A reduplicant is a part of a word that is repeated during the morphological process of reduplication. Identify the reduplicant in the word \"sino-sino\". Write \"none\" if there is none.</t>
  </si>
  <si>
    <t>Ang reduplikant ay ang bahagi ng salita na kinokopya kapag isinasagawa ang prosesong morpolohikal na reduplikasyon. Tukuyin ang reduplikant sa salitang \"sino-sino\". Isulat ang \"none\" kung wala.</t>
  </si>
  <si>
    <t>A reduplicant is a part of a word that is repeated during the morphological process of reduplication. Identify the reduplicant in the word \"saan-saan\". Write \"none\" if there is none.</t>
  </si>
  <si>
    <t>Ang reduplikant ay ang bahagi ng salita na kinokopya kapag isinasagawa ang prosesong morpolohikal na reduplikasyon. Tukuyin ang reduplikant sa salitang \"saan-saan\". Isulat ang \"none\" kung wala.</t>
  </si>
  <si>
    <t>A reduplicant is a part of a word that is repeated during the morphological process of reduplication. Identify the reduplicant in the word \"alin-alin\". Write \"none\" if there is none.</t>
  </si>
  <si>
    <t>Ang reduplikant ay ang bahagi ng salita na kinokopya kapag isinasagawa ang prosesong morpolohikal na reduplikasyon. Tukuyin ang reduplikant sa salitang \"alin-alin\". Isulat ang \"none\" kung wala.</t>
  </si>
  <si>
    <t>A reduplicant is a part of a word that is repeated during the morphological process of reduplication. Identify the reduplicant in the word \"kaibig-ibig\". Write \"none\" if there is none.</t>
  </si>
  <si>
    <t>Ang reduplikant ay ang bahagi ng salita na kinokopya kapag isinasagawa ang prosesong morpolohikal na reduplikasyon. Tukuyin ang reduplikant sa salitang \"kaibig-ibig\". Isulat ang \"none\" kung wala.</t>
  </si>
  <si>
    <t>A reduplicant is a part of a word that is repeated during the morphological process of reduplication. Identify the reduplicant in the word \"kasuklam-suklam\". Write \"none\" if there is none.</t>
  </si>
  <si>
    <t>Ang reduplikant ay ang bahagi ng salita na kinokopya kapag isinasagawa ang prosesong morpolohikal na reduplikasyon. Tukuyin ang reduplikant sa salitang \"kasuklam-suklam\". Isulat ang \"none\" kung wala.</t>
  </si>
  <si>
    <t>A reduplicant is a part of a word that is repeated during the morphological process of reduplication. Identify the reduplicant in the word \"kasiya-siya\". Write \"none\" if there is none.</t>
  </si>
  <si>
    <t>Ang reduplikant ay ang bahagi ng salita na kinokopya kapag isinasagawa ang prosesong morpolohikal na reduplikasyon. Tukuyin ang reduplikant sa salitang \"kasiya-siya\". Isulat ang \"none\" kung wala.</t>
  </si>
  <si>
    <t>A reduplicant is a part of a word that is repeated during the morphological process of reduplication. Identify the reduplicant in the word \"kagulat-gulat\". Write \"none\" if there is none.</t>
  </si>
  <si>
    <t>Ang reduplikant ay ang bahagi ng salita na kinokopya kapag isinasagawa ang prosesong morpolohikal na reduplikasyon. Tukuyin ang reduplikant sa salitang \"kagulat-gulat\". Isulat ang \"none\" kung wala.</t>
  </si>
  <si>
    <t>A reduplicant is a part of a word that is repeated during the morphological process of reduplication. Identify the reduplicant in the word \"kahiya-hiya\". Write \"none\" if there is none.</t>
  </si>
  <si>
    <t>Ang reduplikant ay ang bahagi ng salita na kinokopya kapag isinasagawa ang prosesong morpolohikal na reduplikasyon. Tukuyin ang reduplikant sa salitang \"kahiya-hiya\". Isulat ang \"none\" kung wala.</t>
  </si>
  <si>
    <t>A reduplicant is a part of a word that is repeated during the morphological process of reduplication. Identify the reduplicant in the word \"magkandasira-sira\". Write \"none\" if there is none.</t>
  </si>
  <si>
    <t>Ang reduplikant ay ang bahagi ng salita na kinokopya kapag isinasagawa ang prosesong morpolohikal na reduplikasyon. Tukuyin ang reduplikant sa salitang \"magkandasira-sira\". Isulat ang \"none\" kung wala.</t>
  </si>
  <si>
    <t>A reduplicant is a part of a word that is repeated during the morphological process of reduplication. Identify the reduplicant in the word \"magkandahilo-hilo\". Write \"none\" if there is none.</t>
  </si>
  <si>
    <t>Ang reduplikant ay ang bahagi ng salita na kinokopya kapag isinasagawa ang prosesong morpolohikal na reduplikasyon. Tukuyin ang reduplikant sa salitang \"magkandahilo-hilo\". Isulat ang \"none\" kung wala.</t>
  </si>
  <si>
    <t>A reduplicant is a part of a word that is repeated during the morphological process of reduplication. Identify the reduplicant in the word \"magkaaway-away\". Write \"none\" if there is none.</t>
  </si>
  <si>
    <t>Ang reduplikant ay ang bahagi ng salita na kinokopya kapag isinasagawa ang prosesong morpolohikal na reduplikasyon. Tukuyin ang reduplikant sa salitang \"magkaaway-away\". Isulat ang \"none\" kung wala.</t>
  </si>
  <si>
    <t>A reduplicant is a part of a word that is repeated during the morphological process of reduplication. Identify the reduplicant in the word \"nagkawatak-watak\". Write \"none\" if there is none.</t>
  </si>
  <si>
    <t>Ang reduplikant ay ang bahagi ng salita na kinokopya kapag isinasagawa ang prosesong morpolohikal na reduplikasyon. Tukuyin ang reduplikant sa salitang \"nagkawatak-watak\". Isulat ang \"none\" kung wala.</t>
  </si>
  <si>
    <t>A reduplicant is a part of a word that is repeated during the morphological process of reduplication. Identify the reduplicant in the word \"mapilas-pilas\". Write \"none\" if there is none.</t>
  </si>
  <si>
    <t>Ang reduplikant ay ang bahagi ng salita na kinokopya kapag isinasagawa ang prosesong morpolohikal na reduplikasyon. Tukuyin ang reduplikant sa salitang \"mapilas-pilas\". Isulat ang \"none\" kung wala.</t>
  </si>
  <si>
    <t>A reduplicant is a part of a word that is repeated during the morphological process of reduplication. Identify the reduplicant in the word \"araw-araw\". Write \"none\" if there is none.</t>
  </si>
  <si>
    <t>Ang reduplikant ay ang bahagi ng salita na kinokopya kapag isinasagawa ang prosesong morpolohikal na reduplikasyon. Tukuyin ang reduplikant sa salitang \"araw-araw\". Isulat ang \"none\" kung wala.</t>
  </si>
  <si>
    <t>A reduplicant is a part of a word that is repeated during the morphological process of reduplication. Identify the reduplicant in the word \"gabi-gabi\". Write \"none\" if there is none.</t>
  </si>
  <si>
    <t>Ang reduplikant ay ang bahagi ng salita na kinokopya kapag isinasagawa ang prosesong morpolohikal na reduplikasyon. Tukuyin ang reduplikant sa salitang \"gabi-gabi\". Isulat ang \"none\" kung wala.</t>
  </si>
  <si>
    <t>A reduplicant is a part of a word that is repeated during the morphological process of reduplication. Identify the reduplicant in the word \"oras-oras\". Write \"none\" if there is none.</t>
  </si>
  <si>
    <t>Ang reduplikant ay ang bahagi ng salita na kinokopya kapag isinasagawa ang prosesong morpolohikal na reduplikasyon. Tukuyin ang reduplikant sa salitang \"oras-oras\". Isulat ang \"none\" kung wala.</t>
  </si>
  <si>
    <t>A reduplicant is a part of a word that is repeated during the morphological process of reduplication. Identify the reduplicant in the word \"linggo-linggo\". Write \"none\" if there is none.</t>
  </si>
  <si>
    <t>Ang reduplikant ay ang bahagi ng salita na kinokopya kapag isinasagawa ang prosesong morpolohikal na reduplikasyon. Tukuyin ang reduplikant sa salitang \"linggo-linggo\". Isulat ang \"none\" kung wala.</t>
  </si>
  <si>
    <t>A reduplicant is a part of a word that is repeated during the morphological process of reduplication. Identify the reduplicant in the word \"buwan-buwan\". Write \"none\" if there is none.</t>
  </si>
  <si>
    <t>Ang reduplikant ay ang bahagi ng salita na kinokopya kapag isinasagawa ang prosesong morpolohikal na reduplikasyon. Tukuyin ang reduplikant sa salitang \"buwan-buwan\". Isulat ang \"none\" kung wala.</t>
  </si>
  <si>
    <t>A reduplicant is a part of a word that is repeated during the morphological process of reduplication. Identify the reduplicant in the word \"taon-taon\". Write \"none\" if there is none.</t>
  </si>
  <si>
    <t>Ang reduplikant ay ang bahagi ng salita na kinokopya kapag isinasagawa ang prosesong morpolohikal na reduplikasyon. Tukuyin ang reduplikant sa salitang \"taon-taon\". Isulat ang \"none\" kung wala.</t>
  </si>
  <si>
    <t>A reduplicant is a part of a word that is repeated during the morphological process of reduplication. Identify the reduplicant in the word \"unti-unti\". Write \"none\" if there is none.</t>
  </si>
  <si>
    <t>Ang reduplikant ay ang bahagi ng salita na kinokopya kapag isinasagawa ang prosesong morpolohikal na reduplikasyon. Tukuyin ang reduplikant sa salitang \"unti-unti\". Isulat ang \"none\" kung wala.</t>
  </si>
  <si>
    <t>A reduplicant is a part of a word that is repeated during the morphological process of reduplication. Identify the reduplicant in the word \"sabay-sabay\". Write \"none\" if there is none.</t>
  </si>
  <si>
    <t>Ang reduplikant ay ang bahagi ng salita na kinokopya kapag isinasagawa ang prosesong morpolohikal na reduplikasyon. Tukuyin ang reduplikant sa salitang \"sabay-sabay\". Isulat ang \"none\" kung wala.</t>
  </si>
  <si>
    <t>A reduplicant is a part of a word that is repeated during the morphological process of reduplication. Identify the reduplicant in the word \"dahan-dahan\". Write \"none\" if there is none.</t>
  </si>
  <si>
    <t>Ang reduplikant ay ang bahagi ng salita na kinokopya kapag isinasagawa ang prosesong morpolohikal na reduplikasyon. Tukuyin ang reduplikant sa salitang \"dahan-dahan\". Isulat ang \"none\" kung wala.</t>
  </si>
  <si>
    <t>A reduplicant is a part of a word that is repeated during the morphological process of reduplication. Identify the reduplicant in the word \"bigla-bigla\". Write \"none\" if there is none.</t>
  </si>
  <si>
    <t>Ang reduplikant ay ang bahagi ng salita na kinokopya kapag isinasagawa ang prosesong morpolohikal na reduplikasyon. Tukuyin ang reduplikant sa salitang \"bigla-bigla\". Isulat ang \"none\" kung wala.</t>
  </si>
  <si>
    <t>A reduplicant is a part of a word that is repeated during the morphological process of reduplication. Identify the reduplicant in the word \"maya-maya\". Write \"none\" if there is none.</t>
  </si>
  <si>
    <t>Ang reduplikant ay ang bahagi ng salita na kinokopya kapag isinasagawa ang prosesong morpolohikal na reduplikasyon. Tukuyin ang reduplikant sa salitang \"maya-maya\". Isulat ang \"none\" kung wala.</t>
  </si>
  <si>
    <t>A reduplicant is a part of a word that is repeated during the morphological process of reduplication. Identify the reduplicant in the word \"tao-taohan\". Write \"none\" if there is none.</t>
  </si>
  <si>
    <t>Ang reduplikant ay ang bahagi ng salita na kinokopya kapag isinasagawa ang prosesong morpolohikal na reduplikasyon. Tukuyin ang reduplikant sa salitang \"tao-taohan\". Isulat ang \"none\" kung wala.</t>
  </si>
  <si>
    <t>A reduplicant is a part of a word that is repeated during the morphological process of reduplication. Identify the reduplicant in the word \"ari-arian\". Write \"none\" if there is none.</t>
  </si>
  <si>
    <t>Ang reduplikant ay ang bahagi ng salita na kinokopya kapag isinasagawa ang prosesong morpolohikal na reduplikasyon. Tukuyin ang reduplikant sa salitang \"ari-arian\". Isulat ang \"none\" kung wala.</t>
  </si>
  <si>
    <t>A reduplicant is a part of a word that is repeated during the morphological process of reduplication. Identify the reduplicant in the word \"hari-harian\". Write \"none\" if there is none.</t>
  </si>
  <si>
    <t>Ang reduplikant ay ang bahagi ng salita na kinokopya kapag isinasagawa ang prosesong morpolohikal na reduplikasyon. Tukuyin ang reduplikant sa salitang \"hari-harian\". Isulat ang \"none\" kung wala.</t>
  </si>
  <si>
    <t>A reduplicant is a part of a word that is repeated during the morphological process of reduplication. Identify the reduplicant in the word \"diyos-diyosan\". Write \"none\" if there is none.</t>
  </si>
  <si>
    <t>Ang reduplikant ay ang bahagi ng salita na kinokopya kapag isinasagawa ang prosesong morpolohikal na reduplikasyon. Tukuyin ang reduplikant sa salitang \"diyos-diyosan\". Isulat ang \"none\" kung wala.</t>
  </si>
  <si>
    <t>A reduplicant is a part of a word that is repeated during the morphological process of reduplication. Identify the reduplicant in the word \"nanay-nanayan\". Write \"none\" if there is none.</t>
  </si>
  <si>
    <t>Ang reduplikant ay ang bahagi ng salita na kinokopya kapag isinasagawa ang prosesong morpolohikal na reduplikasyon. Tukuyin ang reduplikant sa salitang \"nanay-nanayan\". Isulat ang \"none\" kung wala.</t>
  </si>
  <si>
    <t>A reduplicant is a part of a word that is repeated during the morphological process of reduplication. Identify the reduplicant in the word \"anak-anakan\". Write \"none\" if there is none.</t>
  </si>
  <si>
    <t>Ang reduplikant ay ang bahagi ng salita na kinokopya kapag isinasagawa ang prosesong morpolohikal na reduplikasyon. Tukuyin ang reduplikant sa salitang \"anak-anakan\". Isulat ang \"none\" kung wala.</t>
  </si>
  <si>
    <t>A reduplicant is a part of a word that is repeated during the morphological process of reduplication. Identify the reduplicant in the word \"tampu-tampuhan\". Write \"none\" if there is none.</t>
  </si>
  <si>
    <t>Ang reduplikant ay ang bahagi ng salita na kinokopya kapag isinasagawa ang prosesong morpolohikal na reduplikasyon. Tukuyin ang reduplikant sa salitang \"tampu-tampuhan\". Isulat ang \"none\" kung wala.</t>
  </si>
  <si>
    <t>A reduplicant is a part of a word that is repeated during the morphological process of reduplication. Identify the reduplicant in the word \"paruparo\". Write \"none\" if there is none.</t>
  </si>
  <si>
    <t>Ang reduplikant ay ang bahagi ng salita na kinokopya kapag isinasagawa ang prosesong morpolohikal na reduplikasyon. Tukuyin ang reduplikant sa salitang \"paruparo\". Isulat ang \"none\" kung wala.</t>
  </si>
  <si>
    <t>A reduplicant is a part of a word that is repeated during the morphological process of reduplication. Identify the reduplicant in the word \"haluhalo\". Write \"none\" if there is none.</t>
  </si>
  <si>
    <t>Ang reduplikant ay ang bahagi ng salita na kinokopya kapag isinasagawa ang prosesong morpolohikal na reduplikasyon. Tukuyin ang reduplikant sa salitang \"haluhalo\". Isulat ang \"none\" kung wala.</t>
  </si>
  <si>
    <t>A reduplicant is a part of a word that is repeated during the morphological process of reduplication. Identify the reduplicant in the word \"pakpak\". Write \"none\" if there is none.</t>
  </si>
  <si>
    <t>Ang reduplikant ay ang bahagi ng salita na kinokopya kapag isinasagawa ang prosesong morpolohikal na reduplikasyon. Tukuyin ang reduplikant sa salitang \"pakpak\". Isulat ang \"none\" kung wala.</t>
  </si>
  <si>
    <t>A reduplicant is a part of a word that is repeated during the morphological process of reduplication. Identify the reduplicant in the word \"halakhak\". Write \"none\" if there is none.</t>
  </si>
  <si>
    <t>Ang reduplikant ay ang bahagi ng salita na kinokopya kapag isinasagawa ang prosesong morpolohikal na reduplikasyon. Tukuyin ang reduplikant sa salitang \"halakhak\". Isulat ang \"none\" kung wala.</t>
  </si>
  <si>
    <t>A reduplicant is a part of a word that is repeated during the morphological process of reduplication. Identify the reduplicant in the word \"dagdag\". Write \"none\" if there is none.</t>
  </si>
  <si>
    <t>Ang reduplikant ay ang bahagi ng salita na kinokopya kapag isinasagawa ang prosesong morpolohikal na reduplikasyon. Tukuyin ang reduplikant sa salitang \"dagdag\". Isulat ang \"none\" kung wala.</t>
  </si>
  <si>
    <t>A reduplicant is a part of a word that is repeated during the morphological process of reduplication. Identify the reduplicant in the word \"bulatlatin\". Write \"none\" if there is none.</t>
  </si>
  <si>
    <t>Ang reduplikant ay ang bahagi ng salita na kinokopya kapag isinasagawa ang prosesong morpolohikal na reduplikasyon. Tukuyin ang reduplikant sa salitang \"bulatlatin\". Isulat ang \"none\" kung wala.</t>
  </si>
  <si>
    <t>A reduplicant is a part of a word that is repeated during the morphological process of reduplication. Identify the reduplicant in the word \"kilikili\". Write \"none\" if there is none.</t>
  </si>
  <si>
    <t>Ang reduplikant ay ang bahagi ng salita na kinokopya kapag isinasagawa ang prosesong morpolohikal na reduplikasyon. Tukuyin ang reduplikant sa salitang \"kilikili\". Isulat ang \"none\" kung wala.</t>
  </si>
  <si>
    <t>A reduplicant is a part of a word that is repeated during the morphological process of reduplication. Identify the reduplicant in the word \"kasukasuan\". Write \"none\" if there is none.</t>
  </si>
  <si>
    <t>Ang reduplikant ay ang bahagi ng salita na kinokopya kapag isinasagawa ang prosesong morpolohikal na reduplikasyon. Tukuyin ang reduplikant sa salitang \"kasukasuan\". Isulat ang \"none\" kung wala.</t>
  </si>
  <si>
    <t>A reduplicant is a part of a word that is repeated during the morphological process of reduplication. Identify the reduplicant in the word \"babae\". Write \"none\" if there is none.</t>
  </si>
  <si>
    <t>Ang reduplikant ay ang bahagi ng salita na kinokopya kapag isinasagawa ang prosesong morpolohikal na reduplikasyon. Tukuyin ang reduplikant sa salitang \"babae\". Isulat ang \"none\" kung wala.</t>
  </si>
  <si>
    <t>A reduplicant is a part of a word that is repeated during the morphological process of reduplication. Identify the reduplicant in the word \"lalaki\". Write \"none\" if there is none.</t>
  </si>
  <si>
    <t>Ang reduplikant ay ang bahagi ng salita na kinokopya kapag isinasagawa ang prosesong morpolohikal na reduplikasyon. Tukuyin ang reduplikant sa salitang \"lalaki\". Isulat ang \"none\" kung wala.</t>
  </si>
  <si>
    <t>A reduplicant is a part of a word that is repeated during the morphological process of reduplication. Identify the reduplicant in the word \"lalawigan\". Write \"none\" if there is none.</t>
  </si>
  <si>
    <t>Ang reduplikant ay ang bahagi ng salita na kinokopya kapag isinasagawa ang prosesong morpolohikal na reduplikasyon. Tukuyin ang reduplikant sa salitang \"lalawigan\". Isulat ang \"none\" kung wala.</t>
  </si>
  <si>
    <t>A reduplicant is a part of a word that is repeated during the morphological process of reduplication. Identify the reduplicant in the word \"titik\". Write \"none\" if there is none.</t>
  </si>
  <si>
    <t>Ang reduplikant ay ang bahagi ng salita na kinokopya kapag isinasagawa ang prosesong morpolohikal na reduplikasyon. Tukuyin ang reduplikant sa salitang \"titik\". Isulat ang \"none\" kung wala.</t>
  </si>
  <si>
    <t>A reduplicant is a part of a word that is repeated during the morphological process of reduplication. Identify the reduplicant in the word \"sarsa\". Write \"none\" if there is none.</t>
  </si>
  <si>
    <t>Ang reduplikant ay ang bahagi ng salita na kinokopya kapag isinasagawa ang prosesong morpolohikal na reduplikasyon. Tukuyin ang reduplikant sa salitang \"sarsa\". Isulat ang \"none\" kung wala.</t>
  </si>
  <si>
    <t>A reduplicant is a part of a word that is repeated during the morphological process of reduplication. Identify the reduplicant in the word \"gakgak\". Write \"none\" if there is none.</t>
  </si>
  <si>
    <t>Ang reduplikant ay ang bahagi ng salita na kinokopya kapag isinasagawa ang prosesong morpolohikal na reduplikasyon. Tukuyin ang reduplikant sa salitang \"gakgak\". Isulat ang \"none\" kung wala.</t>
  </si>
  <si>
    <t>A reduplicant is a part of a word that is repeated during the morphological process of reduplication. Identify the reduplicant in the word \"luklukan\". Write \"none\" if there is none.</t>
  </si>
  <si>
    <t>Ang reduplikant ay ang bahagi ng salita na kinokopya kapag isinasagawa ang prosesong morpolohikal na reduplikasyon. Tukuyin ang reduplikant sa salitang \"luklukan\". Isulat ang \"none\" kung wala.</t>
  </si>
  <si>
    <t>A reduplicant is a part of a word that is repeated during the morphological process of reduplication. Identify the reduplicant in the word \"tatak\". Write \"none\" if there is none.</t>
  </si>
  <si>
    <t>Ang reduplikant ay ang bahagi ng salita na kinokopya kapag isinasagawa ang prosesong morpolohikal na reduplikasyon. Tukuyin ang reduplikant sa salitang \"tatak\". Isulat ang \"none\" kung wala.</t>
  </si>
  <si>
    <t>A reduplicant is a part of a word that is repeated during the morphological process of reduplication. Identify the reduplicant in the word \"pampang\". Write \"none\" if there is none.</t>
  </si>
  <si>
    <t>Ang reduplikant ay ang bahagi ng salita na kinokopya kapag isinasagawa ang prosesong morpolohikal na reduplikasyon. Tukuyin ang reduplikant sa salitang \"pampang\". Isulat ang \"none\" kung wala.</t>
  </si>
  <si>
    <t>A reduplicant is a part of a word that is repeated during the morphological process of reduplication. Identify the reduplicant in the word \"gigi\". Write \"none\" if there is none.</t>
  </si>
  <si>
    <t>Ang reduplikant ay ang bahagi ng salita na kinokopya kapag isinasagawa ang prosesong morpolohikal na reduplikasyon. Tukuyin ang reduplikant sa salitang \"gigi\". Isulat ang \"none\" kung wala.</t>
  </si>
  <si>
    <t>A reduplicant is a part of a word that is repeated during the morphological process of reduplication. Identify the reduplicant in the word \"damdamin\". Write \"none\" if there is none.</t>
  </si>
  <si>
    <t>Ang reduplikant ay ang bahagi ng salita na kinokopya kapag isinasagawa ang prosesong morpolohikal na reduplikasyon. Tukuyin ang reduplikant sa salitang \"damdamin\". Isulat ang \"none\" kung wala.</t>
  </si>
  <si>
    <t>A reduplicant is a part of a word that is repeated during the morphological process of reduplication. Identify the reduplicant in the word \"mismis\". Write \"none\" if there is none.</t>
  </si>
  <si>
    <t>Ang reduplikant ay ang bahagi ng salita na kinokopya kapag isinasagawa ang prosesong morpolohikal na reduplikasyon. Tukuyin ang reduplikant sa salitang \"mismis\". Isulat ang \"none\" kung wala.</t>
  </si>
  <si>
    <t>A reduplicant is a part of a word that is repeated during the morphological process of reduplication. Identify the reduplicant in the word \"lilim\". Write \"none\" if there is none.</t>
  </si>
  <si>
    <t>Ang reduplikant ay ang bahagi ng salita na kinokopya kapag isinasagawa ang prosesong morpolohikal na reduplikasyon. Tukuyin ang reduplikant sa salitang \"lilim\". Isulat ang \"none\" kung wala.</t>
  </si>
  <si>
    <t>A reduplicant is a part of a word that is repeated during the morphological process of reduplication. Identify the reduplicant in the word \"yikyik\". Write \"none\" if there is none.</t>
  </si>
  <si>
    <t>Ang reduplikant ay ang bahagi ng salita na kinokopya kapag isinasagawa ang prosesong morpolohikal na reduplikasyon. Tukuyin ang reduplikant sa salitang \"yikyik\". Isulat ang \"none\" kung wala.</t>
  </si>
  <si>
    <t>A reduplicant is a part of a word that is repeated during the morphological process of reduplication. Identify the reduplicant in the word \"bubuyog\". Write \"none\" if there is none.</t>
  </si>
  <si>
    <t>Ang reduplikant ay ang bahagi ng salita na kinokopya kapag isinasagawa ang prosesong morpolohikal na reduplikasyon. Tukuyin ang reduplikant sa salitang \"bubuyog\". Isulat ang \"none\" kung wala.</t>
  </si>
  <si>
    <t>A reduplicant is a part of a word that is repeated during the morphological process of reduplication. Identify the reduplicant in the word \"liblib\". Write \"none\" if there is none.</t>
  </si>
  <si>
    <t>Ang reduplikant ay ang bahagi ng salita na kinokopya kapag isinasagawa ang prosesong morpolohikal na reduplikasyon. Tukuyin ang reduplikant sa salitang \"liblib\". Isulat ang \"none\" kung wala.</t>
  </si>
  <si>
    <t>A reduplicant is a part of a word that is repeated during the morphological process of reduplication. Identify the reduplicant in the word \"babalokat\". Write \"none\" if there is none.</t>
  </si>
  <si>
    <t>Ang reduplikant ay ang bahagi ng salita na kinokopya kapag isinasagawa ang prosesong morpolohikal na reduplikasyon. Tukuyin ang reduplikant sa salitang \"babalokat\". Isulat ang \"none\" kung wala.</t>
  </si>
  <si>
    <t>A reduplicant is a part of a word that is repeated during the morphological process of reduplication. Identify the reduplicant in the word \"lidlid\". Write \"none\" if there is none.</t>
  </si>
  <si>
    <t>Ang reduplikant ay ang bahagi ng salita na kinokopya kapag isinasagawa ang prosesong morpolohikal na reduplikasyon. Tukuyin ang reduplikant sa salitang \"lidlid\". Isulat ang \"none\" kung wala.</t>
  </si>
  <si>
    <t>A reduplicant is a part of a word that is repeated during the morphological process of reduplication. Identify the reduplicant in the word \"yayat\". Write \"none\" if there is none.</t>
  </si>
  <si>
    <t>Ang reduplikant ay ang bahagi ng salita na kinokopya kapag isinasagawa ang prosesong morpolohikal na reduplikasyon. Tukuyin ang reduplikant sa salitang \"yayat\". Isulat ang \"none\" kung wala.</t>
  </si>
  <si>
    <t>A reduplicant is a part of a word that is repeated during the morphological process of reduplication. Identify the reduplicant in the word \"baybay\". Write \"none\" if there is none.</t>
  </si>
  <si>
    <t>Ang reduplikant ay ang bahagi ng salita na kinokopya kapag isinasagawa ang prosesong morpolohikal na reduplikasyon. Tukuyin ang reduplikant sa salitang \"baybay\". Isulat ang \"none\" kung wala.</t>
  </si>
  <si>
    <t>A reduplicant is a part of a word that is repeated during the morphological process of reduplication. Identify the reduplicant in the word \"kiki\". Write \"none\" if there is none.</t>
  </si>
  <si>
    <t>Ang reduplikant ay ang bahagi ng salita na kinokopya kapag isinasagawa ang prosesong morpolohikal na reduplikasyon. Tukuyin ang reduplikant sa salitang \"kiki\". Isulat ang \"none\" kung wala.</t>
  </si>
  <si>
    <t>A reduplicant is a part of a word that is repeated during the morphological process of reduplication. Identify the reduplicant in the word \"kipkip\". Write \"none\" if there is none.</t>
  </si>
  <si>
    <t>Ang reduplikant ay ang bahagi ng salita na kinokopya kapag isinasagawa ang prosesong morpolohikal na reduplikasyon. Tukuyin ang reduplikant sa salitang \"kipkip\". Isulat ang \"none\" kung wala.</t>
  </si>
  <si>
    <t>A reduplicant is a part of a word that is repeated during the morphological process of reduplication. Identify the reduplicant in the word \"gaga\". Write \"none\" if there is none.</t>
  </si>
  <si>
    <t>Ang reduplikant ay ang bahagi ng salita na kinokopya kapag isinasagawa ang prosesong morpolohikal na reduplikasyon. Tukuyin ang reduplikant sa salitang \"gaga\". Isulat ang \"none\" kung wala.</t>
  </si>
  <si>
    <t>A reduplicant is a part of a word that is repeated during the morphological process of reduplication. Identify the reduplicant in the word \"pipi\". Write \"none\" if there is none.</t>
  </si>
  <si>
    <t>Ang reduplikant ay ang bahagi ng salita na kinokopya kapag isinasagawa ang prosesong morpolohikal na reduplikasyon. Tukuyin ang reduplikant sa salitang \"pipi\". Isulat ang \"none\" kung wala.</t>
  </si>
  <si>
    <t>A reduplicant is a part of a word that is repeated during the morphological process of reduplication. Identify the reduplicant in the word \"kitkit\". Write \"none\" if there is none.</t>
  </si>
  <si>
    <t>Ang reduplikant ay ang bahagi ng salita na kinokopya kapag isinasagawa ang prosesong morpolohikal na reduplikasyon. Tukuyin ang reduplikant sa salitang \"kitkit\". Isulat ang \"none\" kung wala.</t>
  </si>
  <si>
    <t>A reduplicant is a part of a word that is repeated during the morphological process of reduplication. Identify the reduplicant in the word \"satsat\". Write \"none\" if there is none.</t>
  </si>
  <si>
    <t>Ang reduplikant ay ang bahagi ng salita na kinokopya kapag isinasagawa ang prosesong morpolohikal na reduplikasyon. Tukuyin ang reduplikant sa salitang \"satsat\". Isulat ang \"none\" kung wala.</t>
  </si>
  <si>
    <t>A reduplicant is a part of a word that is repeated during the morphological process of reduplication. Identify the reduplicant in the word \"in-in\". Write \"none\" if there is none.</t>
  </si>
  <si>
    <t>Ang reduplikant ay ang bahagi ng salita na kinokopya kapag isinasagawa ang prosesong morpolohikal na reduplikasyon. Tukuyin ang reduplikant sa salitang \"in-in\". Isulat ang \"none\" kung wala.</t>
  </si>
  <si>
    <t>A reduplicant is a part of a word that is repeated during the morphological process of reduplication. Identify the reduplicant in the word \"saysay\". Write \"none\" if there is none.</t>
  </si>
  <si>
    <t>Ang reduplikant ay ang bahagi ng salita na kinokopya kapag isinasagawa ang prosesong morpolohikal na reduplikasyon. Tukuyin ang reduplikant sa salitang \"saysay\". Isulat ang \"none\" kung wala.</t>
  </si>
  <si>
    <t>A reduplicant is a part of a word that is repeated during the morphological process of reduplication. Identify the reduplicant in the word \"mamaso\". Write \"none\" if there is none.</t>
  </si>
  <si>
    <t>Ang reduplikant ay ang bahagi ng salita na kinokopya kapag isinasagawa ang prosesong morpolohikal na reduplikasyon. Tukuyin ang reduplikant sa salitang \"mamaso\". Isulat ang \"none\" kung wala.</t>
  </si>
  <si>
    <t>A reduplicant is a part of a word that is repeated during the morphological process of reduplication. Identify the reduplicant in the word \"baba\". Write \"none\" if there is none.</t>
  </si>
  <si>
    <t>Ang reduplikant ay ang bahagi ng salita na kinokopya kapag isinasagawa ang prosesong morpolohikal na reduplikasyon. Tukuyin ang reduplikant sa salitang \"baba\". Isulat ang \"none\" kung wala.</t>
  </si>
  <si>
    <t>A reduplicant is a part of a word that is repeated during the morphological process of reduplication. Identify the reduplicant in the word \"titig\". Write \"none\" if there is none.</t>
  </si>
  <si>
    <t>Ang reduplikant ay ang bahagi ng salita na kinokopya kapag isinasagawa ang prosesong morpolohikal na reduplikasyon. Tukuyin ang reduplikant sa salitang \"titig\". Isulat ang \"none\" kung wala.</t>
  </si>
  <si>
    <t>A reduplicant is a part of a word that is repeated during the morphological process of reduplication. Identify the reduplicant in the word \"galgal\". Write \"none\" if there is none.</t>
  </si>
  <si>
    <t>Ang reduplikant ay ang bahagi ng salita na kinokopya kapag isinasagawa ang prosesong morpolohikal na reduplikasyon. Tukuyin ang reduplikant sa salitang \"galgal\". Isulat ang \"none\" kung wala.</t>
  </si>
  <si>
    <t>A reduplicant is a part of a word that is repeated during the morphological process of reduplication. Identify the reduplicant in the word \"boboto\". Write \"none\" if there is none.</t>
  </si>
  <si>
    <t>Ang reduplikant ay ang bahagi ng salita na kinokopya kapag isinasagawa ang prosesong morpolohikal na reduplikasyon. Tukuyin ang reduplikant sa salitang \"boboto\". Isulat ang \"none\" kung wala.</t>
  </si>
  <si>
    <t>A reduplicant is a part of a word that is repeated during the morphological process of reduplication. Identify the reduplicant in the word \"babangan\". Write \"none\" if there is none.</t>
  </si>
  <si>
    <t>Ang reduplikant ay ang bahagi ng salita na kinokopya kapag isinasagawa ang prosesong morpolohikal na reduplikasyon. Tukuyin ang reduplikant sa salitang \"babangan\". Isulat ang \"none\" kung wala.</t>
  </si>
  <si>
    <t>A reduplicant is a part of a word that is repeated during the morphological process of reduplication. Identify the reduplicant in the word \"Kankanay\". Write \"none\" if there is none.</t>
  </si>
  <si>
    <t>Ang reduplikant ay ang bahagi ng salita na kinokopya kapag isinasagawa ang prosesong morpolohikal na reduplikasyon. Tukuyin ang reduplikant sa salitang \"Kankanay\". Isulat ang \"none\" kung wala.</t>
  </si>
  <si>
    <t>A reduplicant is a part of a word that is repeated during the morphological process of reduplication. Identify the reduplicant in the word \"tatagan\". Write \"none\" if there is none.</t>
  </si>
  <si>
    <t>Ang reduplikant ay ang bahagi ng salita na kinokopya kapag isinasagawa ang prosesong morpolohikal na reduplikasyon. Tukuyin ang reduplikant sa salitang \"tatagan\". Isulat ang \"none\" kung wala.</t>
  </si>
  <si>
    <t>A reduplicant is a part of a word that is repeated during the morphological process of reduplication. Identify the reduplicant in the word \"pikpik\". Write \"none\" if there is none.</t>
  </si>
  <si>
    <t>Ang reduplikant ay ang bahagi ng salita na kinokopya kapag isinasagawa ang prosesong morpolohikal na reduplikasyon. Tukuyin ang reduplikant sa salitang \"pikpik\". Isulat ang \"none\" kung wala.</t>
  </si>
  <si>
    <t>A reduplicant is a part of a word that is repeated during the morphological process of reduplication. Identify the reduplicant in the word \"tata\". Write \"none\" if there is none.</t>
  </si>
  <si>
    <t>Ang reduplikant ay ang bahagi ng salita na kinokopya kapag isinasagawa ang prosesong morpolohikal na reduplikasyon. Tukuyin ang reduplikant sa salitang \"tata\". Isulat ang \"none\" kung wala.</t>
  </si>
  <si>
    <t>A reduplicant is a part of a word that is repeated during the morphological process of reduplication. Identify the reduplicant in the word \"lalakinin\". Write \"none\" if there is none.</t>
  </si>
  <si>
    <t>Ang reduplikant ay ang bahagi ng salita na kinokopya kapag isinasagawa ang prosesong morpolohikal na reduplikasyon. Tukuyin ang reduplikant sa salitang \"lalakinin\". Isulat ang \"none\" kung wala.</t>
  </si>
  <si>
    <t>A reduplicant is a part of a word that is repeated during the morphological process of reduplication. Identify the reduplicant in the word \"witwit\". Write \"none\" if there is none.</t>
  </si>
  <si>
    <t>Ang reduplikant ay ang bahagi ng salita na kinokopya kapag isinasagawa ang prosesong morpolohikal na reduplikasyon. Tukuyin ang reduplikant sa salitang \"witwit\". Isulat ang \"none\" kung wala.</t>
  </si>
  <si>
    <t>A reduplicant is a part of a word that is repeated during the morphological process of reduplication. Identify the reduplicant in the word \"as-as\". Write \"none\" if there is none.</t>
  </si>
  <si>
    <t>Ang reduplikant ay ang bahagi ng salita na kinokopya kapag isinasagawa ang prosesong morpolohikal na reduplikasyon. Tukuyin ang reduplikant sa salitang \"as-as\". Isulat ang \"none\" kung wala.</t>
  </si>
  <si>
    <t>A reduplicant is a part of a word that is repeated during the morphological process of reduplication. Identify the reduplicant in the word \"kalkal\". Write \"none\" if there is none.</t>
  </si>
  <si>
    <t>Ang reduplikant ay ang bahagi ng salita na kinokopya kapag isinasagawa ang prosesong morpolohikal na reduplikasyon. Tukuyin ang reduplikant sa salitang \"kalkal\". Isulat ang \"none\" kung wala.</t>
  </si>
  <si>
    <t>A reduplicant is a part of a word that is repeated during the morphological process of reduplication. Identify the reduplicant in the word \"wangwang\". Write \"none\" if there is none.</t>
  </si>
  <si>
    <t>Ang reduplikant ay ang bahagi ng salita na kinokopya kapag isinasagawa ang prosesong morpolohikal na reduplikasyon. Tukuyin ang reduplikant sa salitang \"wangwang\". Isulat ang \"none\" kung wala.</t>
  </si>
  <si>
    <t>A reduplicant is a part of a word that is repeated during the morphological process of reduplication. Identify the reduplicant in the word \"bagbag\". Write \"none\" if there is none.</t>
  </si>
  <si>
    <t>Ang reduplikant ay ang bahagi ng salita na kinokopya kapag isinasagawa ang prosesong morpolohikal na reduplikasyon. Tukuyin ang reduplikant sa salitang \"bagbag\". Isulat ang \"none\" kung wala.</t>
  </si>
  <si>
    <t>A reduplicant is a part of a word that is repeated during the morphological process of reduplication. Identify the reduplicant in the word \"hawhaw\". Write \"none\" if there is none.</t>
  </si>
  <si>
    <t>Ang reduplikant ay ang bahagi ng salita na kinokopya kapag isinasagawa ang prosesong morpolohikal na reduplikasyon. Tukuyin ang reduplikant sa salitang \"hawhaw\". Isulat ang \"none\" kung wala.</t>
  </si>
  <si>
    <t>A reduplicant is a part of a word that is repeated during the morphological process of reduplication. Identify the reduplicant in the word \"dibdib\". Write \"none\" if there is none.</t>
  </si>
  <si>
    <t>Ang reduplikant ay ang bahagi ng salita na kinokopya kapag isinasagawa ang prosesong morpolohikal na reduplikasyon. Tukuyin ang reduplikant sa salitang \"dibdib\". Isulat ang \"none\" kung wala.</t>
  </si>
  <si>
    <t>A reduplicant is a part of a word that is repeated during the morphological process of reduplication. Identify the reduplicant in the word \"papa\". Write \"none\" if there is none.</t>
  </si>
  <si>
    <t>Ang reduplikant ay ang bahagi ng salita na kinokopya kapag isinasagawa ang prosesong morpolohikal na reduplikasyon. Tukuyin ang reduplikant sa salitang \"papa\". Isulat ang \"none\" kung wala.</t>
  </si>
  <si>
    <t>A reduplicant is a part of a word that is repeated during the morphological process of reduplication. Identify the reduplicant in the word \"gagamba\". Write \"none\" if there is none.</t>
  </si>
  <si>
    <t>Ang reduplikant ay ang bahagi ng salita na kinokopya kapag isinasagawa ang prosesong morpolohikal na reduplikasyon. Tukuyin ang reduplikant sa salitang \"gagamba\". Isulat ang \"none\" kung wala.</t>
  </si>
  <si>
    <t>A reduplicant is a part of a word that is repeated during the morphological process of reduplication. Identify the reduplicant in the word \"tabtaba\". Write \"none\" if there is none.</t>
  </si>
  <si>
    <t>Ang reduplikant ay ang bahagi ng salita na kinokopya kapag isinasagawa ang prosesong morpolohikal na reduplikasyon. Tukuyin ang reduplikant sa salitang \"tabtaba\". Isulat ang \"none\" kung wala.</t>
  </si>
  <si>
    <t>A reduplicant is a part of a word that is repeated during the morphological process of reduplication. Identify the reduplicant in the word \"gasgas\". Write \"none\" if there is none.</t>
  </si>
  <si>
    <t>Ang reduplikant ay ang bahagi ng salita na kinokopya kapag isinasagawa ang prosesong morpolohikal na reduplikasyon. Tukuyin ang reduplikant sa salitang \"gasgas\". Isulat ang \"none\" kung wala.</t>
  </si>
  <si>
    <t>A reduplicant is a part of a word that is repeated during the morphological process of reduplication. Identify the reduplicant in the word \"dangdang\". Write \"none\" if there is none.</t>
  </si>
  <si>
    <t>Ang reduplikant ay ang bahagi ng salita na kinokopya kapag isinasagawa ang prosesong morpolohikal na reduplikasyon. Tukuyin ang reduplikant sa salitang \"dangdang\". Isulat ang \"none\" kung wala.</t>
  </si>
  <si>
    <t>A reduplicant is a part of a word that is repeated during the morphological process of reduplication. Identify the reduplicant in the word \"nana\". Write \"none\" if there is none.</t>
  </si>
  <si>
    <t>Ang reduplikant ay ang bahagi ng salita na kinokopya kapag isinasagawa ang prosesong morpolohikal na reduplikasyon. Tukuyin ang reduplikant sa salitang \"nana\". Isulat ang \"none\" kung wala.</t>
  </si>
  <si>
    <t>A reduplicant is a part of a word that is repeated during the morphological process of reduplication. Identify the reduplicant in the word \"lalangan\". Write \"none\" if there is none.</t>
  </si>
  <si>
    <t>Ang reduplikant ay ang bahagi ng salita na kinokopya kapag isinasagawa ang prosesong morpolohikal na reduplikasyon. Tukuyin ang reduplikant sa salitang \"lalangan\". Isulat ang \"none\" kung wala.</t>
  </si>
  <si>
    <t>A reduplicant is a part of a word that is repeated during the morphological process of reduplication. Identify the reduplicant in the word \"gargaran\". Write \"none\" if there is none.</t>
  </si>
  <si>
    <t>Ang reduplikant ay ang bahagi ng salita na kinokopya kapag isinasagawa ang prosesong morpolohikal na reduplikasyon. Tukuyin ang reduplikant sa salitang \"gargaran\". Isulat ang \"none\" kung wala.</t>
  </si>
  <si>
    <t>A reduplicant is a part of a word that is repeated during the morphological process of reduplication. Identify the reduplicant in the word \"borbor\". Write \"none\" if there is none.</t>
  </si>
  <si>
    <t>Ang reduplikant ay ang bahagi ng salita na kinokopya kapag isinasagawa ang prosesong morpolohikal na reduplikasyon. Tukuyin ang reduplikant sa salitang \"borbor\". Isulat ang \"none\" kung wala.</t>
  </si>
  <si>
    <t>A reduplicant is a part of a word that is repeated during the morphological process of reduplication. Identify the reduplicant in the word \"sosoan\". Write \"none\" if there is none.</t>
  </si>
  <si>
    <t>Ang reduplikant ay ang bahagi ng salita na kinokopya kapag isinasagawa ang prosesong morpolohikal na reduplikasyon. Tukuyin ang reduplikant sa salitang \"sosoan\". Isulat ang \"none\" kung wala.</t>
  </si>
  <si>
    <t>A reduplicant is a part of a word that is repeated during the morphological process of reduplication. Identify the reduplicant in the word \"maymay\". Write \"none\" if there is none.</t>
  </si>
  <si>
    <t>Ang reduplikant ay ang bahagi ng salita na kinokopya kapag isinasagawa ang prosesong morpolohikal na reduplikasyon. Tukuyin ang reduplikant sa salitang \"maymay\". Isulat ang \"none\" kung wala.</t>
  </si>
  <si>
    <t>A reduplicant is a part of a word that is repeated during the morphological process of reduplication. Identify the reduplicant in the word \"sasa\". Write \"none\" if there is none.</t>
  </si>
  <si>
    <t>Ang reduplikant ay ang bahagi ng salita na kinokopya kapag isinasagawa ang prosesong morpolohikal na reduplikasyon. Tukuyin ang reduplikant sa salitang \"sasa\". Isulat ang \"none\" kung wala.</t>
  </si>
  <si>
    <t>A reduplicant is a part of a word that is repeated during the morphological process of reduplication. Identify the reduplicant in the word \"bibihira\". Write \"none\" if there is none.</t>
  </si>
  <si>
    <t>Ang reduplikant ay ang bahagi ng salita na kinokopya kapag isinasagawa ang prosesong morpolohikal na reduplikasyon. Tukuyin ang reduplikant sa salitang \"bibihira\". Isulat ang \"none\" kung wala.</t>
  </si>
  <si>
    <t>A reduplicant is a part of a word that is repeated during the morphological process of reduplication. Identify the reduplicant in the word \"papag\". Write \"none\" if there is none.</t>
  </si>
  <si>
    <t>Ang reduplikant ay ang bahagi ng salita na kinokopya kapag isinasagawa ang prosesong morpolohikal na reduplikasyon. Tukuyin ang reduplikant sa salitang \"papag\". Isulat ang \"none\" kung wala.</t>
  </si>
  <si>
    <t>A reduplicant is a part of a word that is repeated during the morphological process of reduplication. Identify the reduplicant in the word \"babala\". Write \"none\" if there is none.</t>
  </si>
  <si>
    <t>Ang reduplikant ay ang bahagi ng salita na kinokopya kapag isinasagawa ang prosesong morpolohikal na reduplikasyon. Tukuyin ang reduplikant sa salitang \"babala\". Isulat ang \"none\" kung wala.</t>
  </si>
  <si>
    <t>A reduplicant is a part of a word that is repeated during the morphological process of reduplication. Identify the reduplicant in the word \"bibirsi\". Write \"none\" if there is none.</t>
  </si>
  <si>
    <t>Ang reduplikant ay ang bahagi ng salita na kinokopya kapag isinasagawa ang prosesong morpolohikal na reduplikasyon. Tukuyin ang reduplikant sa salitang \"bibirsi\". Isulat ang \"none\" kung wala.</t>
  </si>
  <si>
    <t>A reduplicant is a part of a word that is repeated during the morphological process of reduplication. Identify the reduplicant in the word \"lalayan\". Write \"none\" if there is none.</t>
  </si>
  <si>
    <t>Ang reduplikant ay ang bahagi ng salita na kinokopya kapag isinasagawa ang prosesong morpolohikal na reduplikasyon. Tukuyin ang reduplikant sa salitang \"lalayan\". Isulat ang \"none\" kung wala.</t>
  </si>
  <si>
    <t>A reduplicant is a part of a word that is repeated during the morphological process of reduplication. Identify the reduplicant in the word \"kuskusyag\". Write \"none\" if there is none.</t>
  </si>
  <si>
    <t>Ang reduplikant ay ang bahagi ng salita na kinokopya kapag isinasagawa ang prosesong morpolohikal na reduplikasyon. Tukuyin ang reduplikant sa salitang \"kuskusyag\". Isulat ang \"none\" kung wala.</t>
  </si>
  <si>
    <t>A reduplicant is a part of a word that is repeated during the morphological process of reduplication. Identify the reduplicant in the word \"dayday\". Write \"none\" if there is none.</t>
  </si>
  <si>
    <t>Ang reduplikant ay ang bahagi ng salita na kinokopya kapag isinasagawa ang prosesong morpolohikal na reduplikasyon. Tukuyin ang reduplikant sa salitang \"dayday\". Isulat ang \"none\" kung wala.</t>
  </si>
  <si>
    <t>A reduplicant is a part of a word that is repeated during the morphological process of reduplication. Identify the reduplicant in the word \"kengkeng\". Write \"none\" if there is none.</t>
  </si>
  <si>
    <t>Ang reduplikant ay ang bahagi ng salita na kinokopya kapag isinasagawa ang prosesong morpolohikal na reduplikasyon. Tukuyin ang reduplikant sa salitang \"kengkeng\". Isulat ang \"none\" kung wala.</t>
  </si>
  <si>
    <t>A reduplicant is a part of a word that is repeated during the morphological process of reduplication. Identify the reduplicant in the word \"babaw\". Write \"none\" if there is none.</t>
  </si>
  <si>
    <t>Ang reduplikant ay ang bahagi ng salita na kinokopya kapag isinasagawa ang prosesong morpolohikal na reduplikasyon. Tukuyin ang reduplikant sa salitang \"babaw\". Isulat ang \"none\" kung wala.</t>
  </si>
  <si>
    <t>A reduplicant is a part of a word that is repeated during the morphological process of reduplication. Identify the reduplicant in the word \"silsil\". Write \"none\" if there is none.</t>
  </si>
  <si>
    <t>Ang reduplikant ay ang bahagi ng salita na kinokopya kapag isinasagawa ang prosesong morpolohikal na reduplikasyon. Tukuyin ang reduplikant sa salitang \"silsil\". Isulat ang \"none\" kung wala.</t>
  </si>
  <si>
    <t>A reduplicant is a part of a word that is repeated during the morphological process of reduplication. Identify the reduplicant in the word \"sisi\". Write \"none\" if there is none.</t>
  </si>
  <si>
    <t>Ang reduplikant ay ang bahagi ng salita na kinokopya kapag isinasagawa ang prosesong morpolohikal na reduplikasyon. Tukuyin ang reduplikant sa salitang \"sisi\". Isulat ang \"none\" kung wala.</t>
  </si>
  <si>
    <t>A reduplicant is a part of a word that is repeated during the morphological process of reduplication. Identify the reduplicant in the word \"mamay\". Write \"none\" if there is none.</t>
  </si>
  <si>
    <t>Ang reduplikant ay ang bahagi ng salita na kinokopya kapag isinasagawa ang prosesong morpolohikal na reduplikasyon. Tukuyin ang reduplikant sa salitang \"mamay\". Isulat ang \"none\" kung wala.</t>
  </si>
  <si>
    <t>A reduplicant is a part of a word that is repeated during the morphological process of reduplication. Identify the reduplicant in the word \"sisil\". Write \"none\" if there is none.</t>
  </si>
  <si>
    <t>Ang reduplikant ay ang bahagi ng salita na kinokopya kapag isinasagawa ang prosesong morpolohikal na reduplikasyon. Tukuyin ang reduplikant sa salitang \"sisil\". Isulat ang \"none\" kung wala.</t>
  </si>
  <si>
    <t>A reduplicant is a part of a word that is repeated during the morphological process of reduplication. Identify the reduplicant in the word \"sansaw\". Write \"none\" if there is none.</t>
  </si>
  <si>
    <t>Ang reduplikant ay ang bahagi ng salita na kinokopya kapag isinasagawa ang prosesong morpolohikal na reduplikasyon. Tukuyin ang reduplikant sa salitang \"sansaw\". Isulat ang \"none\" kung wala.</t>
  </si>
  <si>
    <t>A reduplicant is a part of a word that is repeated during the morphological process of reduplication. Identify the reduplicant in the word \"mungmungan\". Write \"none\" if there is none.</t>
  </si>
  <si>
    <t>Ang reduplikant ay ang bahagi ng salita na kinokopya kapag isinasagawa ang prosesong morpolohikal na reduplikasyon. Tukuyin ang reduplikant sa salitang \"mungmungan\". Isulat ang \"none\" kung wala.</t>
  </si>
  <si>
    <t>A reduplicant is a part of a word that is repeated during the morphological process of reduplication. Identify the reduplicant in the word \"pilpil\". Write \"none\" if there is none.</t>
  </si>
  <si>
    <t>Ang reduplikant ay ang bahagi ng salita na kinokopya kapag isinasagawa ang prosesong morpolohikal na reduplikasyon. Tukuyin ang reduplikant sa salitang \"pilpil\". Isulat ang \"none\" kung wala.</t>
  </si>
  <si>
    <t>A reduplicant is a part of a word that is repeated during the morphological process of reduplication. Identify the reduplicant in the word \"meme\". Write \"none\" if there is none.</t>
  </si>
  <si>
    <t>Ang reduplikant ay ang bahagi ng salita na kinokopya kapag isinasagawa ang prosesong morpolohikal na reduplikasyon. Tukuyin ang reduplikant sa salitang \"meme\". Isulat ang \"none\" kung wala.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</si>
</sst>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b/>
      <sz val="14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right"/>
    </xf>
    <xf numFmtId="0" fontId="2" fillId="2" borderId="0" xfId="0" applyFont="1" applyFill="1"/>
    <xf numFmtId="0" fontId="2" fillId="3" borderId="0" xfId="0" applyFont="1" applyFill="1"/>
    <xf numFmtId="0" fontId="11" fillId="0" borderId="0" xfId="0" applyFont="1"/>
    <xf numFmtId="0" fontId="12" fillId="0" borderId="0" xfId="0" applyFont="1"/>
    <xf numFmtId="0" fontId="14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stor.org/stable/288967?seq=4" TargetMode="External"/><Relationship Id="rId2" Type="http://schemas.openxmlformats.org/officeDocument/2006/relationships/hyperlink" Target="https://soologua.wordpress.com/wp-content/uploads/2016/03/reduplication-in-tagalog-verbs.pdf" TargetMode="External"/><Relationship Id="rId1" Type="http://schemas.openxmlformats.org/officeDocument/2006/relationships/hyperlink" Target="https://github.com/raileymontalan/pacute-bench/blob/main/data/benchmarks/composition_mcq.jsonl" TargetMode="External"/><Relationship Id="rId4" Type="http://schemas.openxmlformats.org/officeDocument/2006/relationships/hyperlink" Target="https://www.urp.udel.edu/wp-content/uploads/2017/08/Tagalog-Phonology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4"/>
  <sheetViews>
    <sheetView workbookViewId="0">
      <selection activeCell="A35" sqref="A35"/>
    </sheetView>
  </sheetViews>
  <sheetFormatPr baseColWidth="10" defaultColWidth="12.6640625" defaultRowHeight="15.75" customHeight="1" x14ac:dyDescent="0.15"/>
  <cols>
    <col min="1" max="1" width="88" customWidth="1"/>
    <col min="2" max="2" width="42.1640625" customWidth="1"/>
    <col min="3" max="4" width="39.6640625" customWidth="1"/>
    <col min="5" max="5" width="28.1640625" customWidth="1"/>
  </cols>
  <sheetData>
    <row r="1" spans="1:5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15">
      <c r="A2" s="3" t="s">
        <v>5</v>
      </c>
    </row>
    <row r="3" spans="1:5" ht="15.75" customHeight="1" x14ac:dyDescent="0.15">
      <c r="A3" s="4" t="s">
        <v>6</v>
      </c>
      <c r="B3" s="2" t="s">
        <v>7</v>
      </c>
      <c r="C3" s="5" t="s">
        <v>8</v>
      </c>
      <c r="D3" s="2" t="s">
        <v>9</v>
      </c>
    </row>
    <row r="4" spans="1:5" ht="15.75" customHeight="1" x14ac:dyDescent="0.15">
      <c r="A4" s="4" t="s">
        <v>10</v>
      </c>
      <c r="B4" s="2" t="s">
        <v>11</v>
      </c>
      <c r="C4" s="2" t="s">
        <v>12</v>
      </c>
      <c r="D4" s="2" t="s">
        <v>9</v>
      </c>
    </row>
    <row r="5" spans="1:5" ht="15.75" customHeight="1" x14ac:dyDescent="0.15">
      <c r="A5" s="4" t="s">
        <v>13</v>
      </c>
      <c r="B5" s="2" t="s">
        <v>14</v>
      </c>
    </row>
    <row r="6" spans="1:5" ht="15.75" customHeight="1" x14ac:dyDescent="0.15">
      <c r="A6" s="4" t="s">
        <v>15</v>
      </c>
      <c r="B6" s="2" t="s">
        <v>16</v>
      </c>
    </row>
    <row r="7" spans="1:5" ht="15.75" customHeight="1" x14ac:dyDescent="0.15">
      <c r="A7" s="3" t="s">
        <v>17</v>
      </c>
    </row>
    <row r="8" spans="1:5" ht="15.75" customHeight="1" x14ac:dyDescent="0.15">
      <c r="A8" s="4" t="s">
        <v>18</v>
      </c>
      <c r="B8" s="2" t="s">
        <v>19</v>
      </c>
      <c r="C8" s="2" t="s">
        <v>20</v>
      </c>
      <c r="D8" s="2" t="s">
        <v>9</v>
      </c>
    </row>
    <row r="9" spans="1:5" ht="15.75" customHeight="1" x14ac:dyDescent="0.15">
      <c r="A9" s="4" t="s">
        <v>21</v>
      </c>
      <c r="B9" s="2" t="s">
        <v>22</v>
      </c>
      <c r="D9" s="2" t="s">
        <v>23</v>
      </c>
      <c r="E9" s="2" t="s">
        <v>24</v>
      </c>
    </row>
    <row r="10" spans="1:5" ht="15.75" customHeight="1" x14ac:dyDescent="0.15">
      <c r="A10" s="4" t="s">
        <v>25</v>
      </c>
      <c r="B10" s="2" t="s">
        <v>22</v>
      </c>
      <c r="D10" s="2" t="s">
        <v>9</v>
      </c>
      <c r="E10" s="2" t="s">
        <v>26</v>
      </c>
    </row>
    <row r="11" spans="1:5" ht="15.75" customHeight="1" x14ac:dyDescent="0.15">
      <c r="A11" s="4" t="s">
        <v>27</v>
      </c>
      <c r="B11" s="2" t="s">
        <v>28</v>
      </c>
      <c r="C11" s="2" t="s">
        <v>29</v>
      </c>
    </row>
    <row r="12" spans="1:5" ht="15.75" customHeight="1" x14ac:dyDescent="0.15">
      <c r="A12" s="3" t="s">
        <v>30</v>
      </c>
    </row>
    <row r="13" spans="1:5" ht="15.75" customHeight="1" x14ac:dyDescent="0.15">
      <c r="A13" s="4" t="s">
        <v>31</v>
      </c>
      <c r="B13" s="2" t="s">
        <v>32</v>
      </c>
      <c r="E13" s="2" t="s">
        <v>33</v>
      </c>
    </row>
    <row r="14" spans="1:5" ht="15.75" customHeight="1" x14ac:dyDescent="0.15">
      <c r="A14" s="4" t="s">
        <v>34</v>
      </c>
      <c r="B14" s="2" t="s">
        <v>35</v>
      </c>
    </row>
    <row r="16" spans="1:5" ht="15.75" customHeight="1" x14ac:dyDescent="0.25">
      <c r="A16" s="1" t="s">
        <v>36</v>
      </c>
    </row>
    <row r="17" spans="1:9" ht="15.75" customHeight="1" x14ac:dyDescent="0.15">
      <c r="A17" s="3" t="s">
        <v>37</v>
      </c>
    </row>
    <row r="18" spans="1:9" ht="15.75" customHeight="1" x14ac:dyDescent="0.15">
      <c r="A18" s="2" t="s">
        <v>38</v>
      </c>
    </row>
    <row r="19" spans="1:9" ht="15.75" customHeight="1" x14ac:dyDescent="0.15">
      <c r="A19" s="2" t="s">
        <v>39</v>
      </c>
    </row>
    <row r="30" spans="1:9" ht="15.75" customHeight="1" x14ac:dyDescent="0.2">
      <c r="A30" s="6" t="s">
        <v>41</v>
      </c>
    </row>
    <row r="31" spans="1:9" ht="15.75" customHeight="1" x14ac:dyDescent="0.15">
      <c r="A31" s="2" t="s">
        <v>40</v>
      </c>
    </row>
    <row r="32" spans="1:9" ht="15.75" customHeight="1" x14ac:dyDescent="0.15">
      <c r="A32" s="7" t="s">
        <v>42</v>
      </c>
      <c r="B32" s="7" t="s">
        <v>43</v>
      </c>
      <c r="C32" s="7" t="s">
        <v>44</v>
      </c>
      <c r="D32" s="7" t="s">
        <v>45</v>
      </c>
      <c r="E32" s="2" t="s">
        <v>46</v>
      </c>
      <c r="G32" s="2" t="s">
        <v>47</v>
      </c>
      <c r="H32" s="2" t="s">
        <v>48</v>
      </c>
      <c r="I32" s="2" t="s">
        <v>49</v>
      </c>
    </row>
    <row r="33" spans="1:9" ht="15.75" customHeight="1" x14ac:dyDescent="0.15">
      <c r="A33" s="8">
        <v>1</v>
      </c>
      <c r="B33" s="7" t="s">
        <v>50</v>
      </c>
      <c r="C33" s="7" t="s">
        <v>51</v>
      </c>
      <c r="D33" s="7" t="s">
        <v>52</v>
      </c>
      <c r="E33" s="7"/>
      <c r="F33" s="7"/>
      <c r="G33" s="7"/>
      <c r="H33" s="7"/>
    </row>
    <row r="34" spans="1:9" ht="15.75" customHeight="1" x14ac:dyDescent="0.15">
      <c r="A34" s="8">
        <v>1.1000000000000001</v>
      </c>
      <c r="B34" s="7" t="s">
        <v>53</v>
      </c>
      <c r="C34" s="7" t="s">
        <v>54</v>
      </c>
      <c r="D34" s="7"/>
      <c r="E34" s="7" t="s">
        <v>55</v>
      </c>
      <c r="F34" s="7"/>
      <c r="G34" s="7" t="s">
        <v>56</v>
      </c>
      <c r="H34" s="7" t="s">
        <v>57</v>
      </c>
      <c r="I34" s="2" t="s">
        <v>58</v>
      </c>
    </row>
    <row r="35" spans="1:9" ht="15.75" customHeight="1" x14ac:dyDescent="0.15">
      <c r="A35" s="8">
        <v>1.2</v>
      </c>
      <c r="B35" s="7" t="s">
        <v>59</v>
      </c>
      <c r="C35" s="7" t="s">
        <v>60</v>
      </c>
      <c r="D35" s="7"/>
      <c r="E35" s="7" t="s">
        <v>61</v>
      </c>
      <c r="F35" s="7"/>
      <c r="G35" s="7" t="s">
        <v>56</v>
      </c>
      <c r="H35" s="7" t="s">
        <v>62</v>
      </c>
      <c r="I35" s="2" t="s">
        <v>58</v>
      </c>
    </row>
    <row r="36" spans="1:9" ht="15.75" customHeight="1" x14ac:dyDescent="0.15">
      <c r="A36" s="8">
        <v>2</v>
      </c>
      <c r="B36" s="7" t="s">
        <v>63</v>
      </c>
      <c r="C36" s="7" t="s">
        <v>64</v>
      </c>
      <c r="D36" s="7" t="s">
        <v>65</v>
      </c>
      <c r="E36" s="7" t="s">
        <v>66</v>
      </c>
      <c r="F36" s="7"/>
      <c r="G36" s="7" t="s">
        <v>67</v>
      </c>
      <c r="H36" s="7" t="s">
        <v>68</v>
      </c>
      <c r="I36" s="2" t="s">
        <v>58</v>
      </c>
    </row>
    <row r="37" spans="1:9" ht="15.75" customHeight="1" x14ac:dyDescent="0.15">
      <c r="A37" s="8">
        <v>3</v>
      </c>
      <c r="B37" s="7" t="s">
        <v>69</v>
      </c>
      <c r="C37" s="7" t="s">
        <v>70</v>
      </c>
      <c r="D37" s="7" t="s">
        <v>71</v>
      </c>
      <c r="E37" s="7" t="s">
        <v>72</v>
      </c>
      <c r="F37" s="7"/>
      <c r="G37" s="7" t="s">
        <v>73</v>
      </c>
      <c r="H37" s="7"/>
    </row>
    <row r="38" spans="1:9" ht="15.75" customHeight="1" x14ac:dyDescent="0.15">
      <c r="A38" s="8">
        <v>4</v>
      </c>
      <c r="B38" s="7" t="s">
        <v>74</v>
      </c>
      <c r="C38" s="7" t="s">
        <v>75</v>
      </c>
      <c r="D38" s="7" t="s">
        <v>76</v>
      </c>
      <c r="E38" s="7" t="s">
        <v>77</v>
      </c>
      <c r="F38" s="7"/>
      <c r="G38" s="7" t="s">
        <v>78</v>
      </c>
      <c r="H38" s="7"/>
    </row>
    <row r="39" spans="1:9" ht="15.75" customHeight="1" x14ac:dyDescent="0.15">
      <c r="A39" s="8"/>
      <c r="B39" s="7"/>
      <c r="C39" s="7"/>
      <c r="D39" s="7"/>
      <c r="E39" s="7"/>
      <c r="F39" s="7"/>
      <c r="G39" s="7"/>
      <c r="H39" s="7"/>
    </row>
    <row r="40" spans="1:9" ht="15.75" customHeight="1" x14ac:dyDescent="0.15">
      <c r="A40" s="8"/>
      <c r="B40" s="7"/>
      <c r="C40" s="7"/>
      <c r="D40" s="7"/>
      <c r="E40" s="7"/>
      <c r="F40" s="7"/>
      <c r="G40" s="7"/>
      <c r="H40" s="7"/>
    </row>
    <row r="41" spans="1:9" ht="15.75" customHeight="1" x14ac:dyDescent="0.2">
      <c r="A41" s="9" t="s">
        <v>79</v>
      </c>
      <c r="B41" s="7"/>
      <c r="C41" s="7"/>
      <c r="D41" s="7"/>
      <c r="E41" s="7"/>
      <c r="F41" s="7"/>
      <c r="G41" s="7"/>
      <c r="H41" s="7"/>
    </row>
    <row r="42" spans="1:9" ht="15.75" customHeight="1" x14ac:dyDescent="0.15">
      <c r="A42" s="10" t="s">
        <v>80</v>
      </c>
      <c r="B42" s="7"/>
      <c r="C42" s="7"/>
      <c r="D42" s="7"/>
      <c r="E42" s="7"/>
      <c r="F42" s="7"/>
      <c r="G42" s="7"/>
      <c r="H42" s="7"/>
    </row>
    <row r="43" spans="1:9" ht="15.75" customHeight="1" x14ac:dyDescent="0.15">
      <c r="A43" s="5" t="s">
        <v>81</v>
      </c>
      <c r="B43" s="7"/>
      <c r="C43" s="7"/>
      <c r="D43" s="7"/>
      <c r="E43" s="7"/>
      <c r="F43" s="7"/>
      <c r="G43" s="7"/>
      <c r="H43" s="7"/>
    </row>
    <row r="44" spans="1:9" ht="15.75" customHeight="1" x14ac:dyDescent="0.15">
      <c r="A44" s="5" t="s">
        <v>82</v>
      </c>
      <c r="B44" s="7"/>
      <c r="C44" s="7"/>
      <c r="D44" s="7"/>
      <c r="E44" s="7"/>
      <c r="F44" s="7"/>
      <c r="G44" s="7"/>
      <c r="H44" s="7"/>
    </row>
  </sheetData>
  <hyperlinks>
    <hyperlink ref="C3" r:id="rId1" xr:uid="{00000000-0004-0000-0000-000000000000}"/>
    <hyperlink ref="A42" r:id="rId2" xr:uid="{00000000-0004-0000-0100-000000000000}"/>
    <hyperlink ref="A43" r:id="rId3" xr:uid="{00000000-0004-0000-0100-000001000000}"/>
    <hyperlink ref="A44" r:id="rId4" xr:uid="{00000000-0004-0000-01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78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3" max="3" width="29.5" customWidth="1"/>
    <col min="7" max="7" width="34.6640625" customWidth="1"/>
  </cols>
  <sheetData>
    <row r="1" spans="1:7" ht="15.75" customHeight="1" x14ac:dyDescent="0.15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7"/>
    </row>
    <row r="2" spans="1:7" ht="15.75" customHeight="1" x14ac:dyDescent="0.15">
      <c r="A2" s="2" t="s">
        <v>90</v>
      </c>
      <c r="B2" s="2" t="s">
        <v>91</v>
      </c>
      <c r="C2" s="2" t="s">
        <v>92</v>
      </c>
      <c r="E2" s="2" t="s">
        <v>52</v>
      </c>
      <c r="F2" s="2" t="s">
        <v>93</v>
      </c>
      <c r="G2" s="7"/>
    </row>
    <row r="3" spans="1:7" ht="15.75" customHeight="1" x14ac:dyDescent="0.15">
      <c r="A3" s="2" t="s">
        <v>94</v>
      </c>
      <c r="B3" s="2" t="s">
        <v>95</v>
      </c>
      <c r="C3" s="2" t="s">
        <v>92</v>
      </c>
      <c r="E3" s="2" t="s">
        <v>52</v>
      </c>
      <c r="F3" s="2" t="s">
        <v>93</v>
      </c>
      <c r="G3" s="7"/>
    </row>
    <row r="4" spans="1:7" ht="15.75" customHeight="1" x14ac:dyDescent="0.15">
      <c r="A4" s="2" t="s">
        <v>96</v>
      </c>
      <c r="B4" s="2" t="s">
        <v>97</v>
      </c>
      <c r="C4" s="2" t="s">
        <v>98</v>
      </c>
      <c r="E4" s="2" t="s">
        <v>52</v>
      </c>
      <c r="F4" s="2" t="s">
        <v>93</v>
      </c>
      <c r="G4" s="7"/>
    </row>
    <row r="5" spans="1:7" ht="15.75" customHeight="1" x14ac:dyDescent="0.15">
      <c r="A5" s="2" t="s">
        <v>99</v>
      </c>
      <c r="B5" s="2" t="s">
        <v>100</v>
      </c>
      <c r="C5" s="2" t="s">
        <v>101</v>
      </c>
      <c r="E5" s="2" t="s">
        <v>52</v>
      </c>
      <c r="F5" s="2" t="s">
        <v>93</v>
      </c>
      <c r="G5" s="7"/>
    </row>
    <row r="6" spans="1:7" ht="15.75" customHeight="1" x14ac:dyDescent="0.15">
      <c r="A6" s="2" t="s">
        <v>102</v>
      </c>
      <c r="B6" s="2" t="s">
        <v>103</v>
      </c>
      <c r="C6" s="2" t="s">
        <v>101</v>
      </c>
      <c r="E6" s="2" t="s">
        <v>52</v>
      </c>
      <c r="F6" s="2" t="s">
        <v>93</v>
      </c>
      <c r="G6" s="7"/>
    </row>
    <row r="7" spans="1:7" ht="15.75" customHeight="1" x14ac:dyDescent="0.15">
      <c r="A7" s="2" t="s">
        <v>104</v>
      </c>
      <c r="B7" s="2" t="s">
        <v>105</v>
      </c>
      <c r="C7" s="2" t="s">
        <v>106</v>
      </c>
      <c r="D7" s="2"/>
      <c r="E7" s="2" t="s">
        <v>52</v>
      </c>
      <c r="F7" s="2" t="s">
        <v>93</v>
      </c>
      <c r="G7" s="7"/>
    </row>
    <row r="8" spans="1:7" ht="15.75" customHeight="1" x14ac:dyDescent="0.15">
      <c r="A8" s="2" t="s">
        <v>107</v>
      </c>
      <c r="B8" s="2" t="s">
        <v>108</v>
      </c>
      <c r="C8" s="2" t="s">
        <v>106</v>
      </c>
      <c r="D8" s="2"/>
      <c r="E8" s="2" t="s">
        <v>52</v>
      </c>
      <c r="F8" s="2" t="s">
        <v>93</v>
      </c>
      <c r="G8" s="7"/>
    </row>
    <row r="9" spans="1:7" ht="15.75" customHeight="1" x14ac:dyDescent="0.15">
      <c r="A9" s="2" t="s">
        <v>109</v>
      </c>
      <c r="B9" s="2" t="s">
        <v>110</v>
      </c>
      <c r="C9" s="2" t="s">
        <v>111</v>
      </c>
      <c r="E9" s="2" t="s">
        <v>52</v>
      </c>
      <c r="F9" s="2" t="s">
        <v>93</v>
      </c>
      <c r="G9" s="7"/>
    </row>
    <row r="10" spans="1:7" ht="15.75" customHeight="1" x14ac:dyDescent="0.15">
      <c r="A10" s="2" t="s">
        <v>112</v>
      </c>
      <c r="B10" s="2" t="s">
        <v>113</v>
      </c>
      <c r="C10" s="2" t="s">
        <v>114</v>
      </c>
      <c r="E10" s="2" t="s">
        <v>52</v>
      </c>
      <c r="F10" s="2" t="s">
        <v>93</v>
      </c>
      <c r="G10" s="7"/>
    </row>
    <row r="11" spans="1:7" ht="15.75" customHeight="1" x14ac:dyDescent="0.15">
      <c r="A11" s="2" t="s">
        <v>115</v>
      </c>
      <c r="B11" s="2" t="s">
        <v>116</v>
      </c>
      <c r="C11" s="2" t="s">
        <v>114</v>
      </c>
      <c r="E11" s="2" t="s">
        <v>52</v>
      </c>
      <c r="F11" s="2" t="s">
        <v>93</v>
      </c>
      <c r="G11" s="7"/>
    </row>
    <row r="12" spans="1:7" ht="15.75" customHeight="1" x14ac:dyDescent="0.15">
      <c r="A12" s="2" t="s">
        <v>117</v>
      </c>
      <c r="B12" s="2" t="s">
        <v>118</v>
      </c>
      <c r="C12" s="2" t="s">
        <v>101</v>
      </c>
      <c r="D12" s="2"/>
      <c r="E12" s="2" t="s">
        <v>52</v>
      </c>
      <c r="F12" s="2" t="s">
        <v>119</v>
      </c>
      <c r="G12" s="7"/>
    </row>
    <row r="13" spans="1:7" ht="15.75" customHeight="1" x14ac:dyDescent="0.15">
      <c r="A13" s="2" t="s">
        <v>120</v>
      </c>
      <c r="B13" s="2" t="s">
        <v>121</v>
      </c>
      <c r="C13" s="2" t="s">
        <v>101</v>
      </c>
      <c r="D13" s="2"/>
      <c r="E13" s="2" t="s">
        <v>52</v>
      </c>
      <c r="F13" s="2" t="s">
        <v>119</v>
      </c>
      <c r="G13" s="7"/>
    </row>
    <row r="14" spans="1:7" ht="15.75" customHeight="1" x14ac:dyDescent="0.15">
      <c r="A14" s="2" t="s">
        <v>122</v>
      </c>
      <c r="B14" s="2" t="s">
        <v>123</v>
      </c>
      <c r="C14" s="2" t="s">
        <v>101</v>
      </c>
      <c r="D14" s="2"/>
      <c r="E14" s="2" t="s">
        <v>52</v>
      </c>
      <c r="F14" s="2" t="s">
        <v>119</v>
      </c>
      <c r="G14" s="7"/>
    </row>
    <row r="15" spans="1:7" ht="15.75" customHeight="1" x14ac:dyDescent="0.15">
      <c r="A15" s="2" t="s">
        <v>124</v>
      </c>
      <c r="B15" s="2" t="s">
        <v>125</v>
      </c>
      <c r="C15" s="2" t="s">
        <v>92</v>
      </c>
      <c r="D15" s="2"/>
      <c r="E15" s="2" t="s">
        <v>52</v>
      </c>
      <c r="F15" s="2" t="s">
        <v>119</v>
      </c>
      <c r="G15" s="7"/>
    </row>
    <row r="16" spans="1:7" ht="15.75" customHeight="1" x14ac:dyDescent="0.15">
      <c r="A16" s="2" t="s">
        <v>126</v>
      </c>
      <c r="B16" s="2" t="s">
        <v>127</v>
      </c>
      <c r="C16" s="2" t="s">
        <v>92</v>
      </c>
      <c r="D16" s="2"/>
      <c r="E16" s="2" t="s">
        <v>52</v>
      </c>
      <c r="F16" s="2" t="s">
        <v>119</v>
      </c>
      <c r="G16" s="7"/>
    </row>
    <row r="17" spans="1:7" ht="15.75" customHeight="1" x14ac:dyDescent="0.15">
      <c r="A17" s="2" t="s">
        <v>128</v>
      </c>
      <c r="B17" s="2" t="s">
        <v>129</v>
      </c>
      <c r="C17" s="2" t="s">
        <v>92</v>
      </c>
      <c r="D17" s="2"/>
      <c r="E17" s="2" t="s">
        <v>52</v>
      </c>
      <c r="F17" s="2" t="s">
        <v>119</v>
      </c>
      <c r="G17" s="7"/>
    </row>
    <row r="18" spans="1:7" ht="15.75" customHeight="1" x14ac:dyDescent="0.15">
      <c r="A18" s="2" t="s">
        <v>130</v>
      </c>
      <c r="B18" s="2" t="s">
        <v>131</v>
      </c>
      <c r="C18" s="2" t="s">
        <v>106</v>
      </c>
      <c r="D18" s="2"/>
      <c r="E18" s="2" t="s">
        <v>52</v>
      </c>
      <c r="F18" s="2" t="s">
        <v>119</v>
      </c>
      <c r="G18" s="7"/>
    </row>
    <row r="19" spans="1:7" ht="15.75" customHeight="1" x14ac:dyDescent="0.15">
      <c r="A19" s="2" t="s">
        <v>132</v>
      </c>
      <c r="B19" s="2" t="s">
        <v>133</v>
      </c>
      <c r="C19" s="2" t="s">
        <v>106</v>
      </c>
      <c r="D19" s="2"/>
      <c r="E19" s="2" t="s">
        <v>52</v>
      </c>
      <c r="F19" s="2" t="s">
        <v>119</v>
      </c>
      <c r="G19" s="7"/>
    </row>
    <row r="20" spans="1:7" ht="15.75" customHeight="1" x14ac:dyDescent="0.15">
      <c r="A20" s="2" t="s">
        <v>134</v>
      </c>
      <c r="B20" s="2" t="s">
        <v>135</v>
      </c>
      <c r="C20" s="2" t="s">
        <v>106</v>
      </c>
      <c r="D20" s="2"/>
      <c r="E20" s="2" t="s">
        <v>52</v>
      </c>
      <c r="F20" s="2" t="s">
        <v>119</v>
      </c>
      <c r="G20" s="7"/>
    </row>
    <row r="21" spans="1:7" ht="15.75" customHeight="1" x14ac:dyDescent="0.15">
      <c r="A21" s="2" t="s">
        <v>136</v>
      </c>
      <c r="B21" s="2" t="s">
        <v>137</v>
      </c>
      <c r="C21" s="2" t="s">
        <v>98</v>
      </c>
      <c r="D21" s="2"/>
      <c r="E21" s="2" t="s">
        <v>52</v>
      </c>
      <c r="F21" s="2" t="s">
        <v>119</v>
      </c>
      <c r="G21" s="7"/>
    </row>
    <row r="22" spans="1:7" ht="15.75" customHeight="1" x14ac:dyDescent="0.15">
      <c r="A22" s="2" t="s">
        <v>138</v>
      </c>
      <c r="B22" s="2" t="s">
        <v>139</v>
      </c>
      <c r="C22" s="2" t="s">
        <v>140</v>
      </c>
      <c r="D22" s="2"/>
      <c r="E22" s="2" t="s">
        <v>52</v>
      </c>
      <c r="F22" s="2" t="s">
        <v>141</v>
      </c>
      <c r="G22" s="7"/>
    </row>
    <row r="23" spans="1:7" ht="15.75" customHeight="1" x14ac:dyDescent="0.15">
      <c r="A23" s="2" t="s">
        <v>142</v>
      </c>
      <c r="B23" s="2" t="s">
        <v>143</v>
      </c>
      <c r="C23" s="2" t="s">
        <v>140</v>
      </c>
      <c r="D23" s="2"/>
      <c r="E23" s="2" t="s">
        <v>52</v>
      </c>
      <c r="F23" s="2" t="s">
        <v>141</v>
      </c>
      <c r="G23" s="7"/>
    </row>
    <row r="24" spans="1:7" ht="15.75" customHeight="1" x14ac:dyDescent="0.15">
      <c r="A24" s="2" t="s">
        <v>144</v>
      </c>
      <c r="B24" s="2" t="s">
        <v>145</v>
      </c>
      <c r="C24" s="2" t="s">
        <v>140</v>
      </c>
      <c r="D24" s="2"/>
      <c r="E24" s="2" t="s">
        <v>52</v>
      </c>
      <c r="F24" s="2" t="s">
        <v>141</v>
      </c>
      <c r="G24" s="7"/>
    </row>
    <row r="25" spans="1:7" ht="15.75" customHeight="1" x14ac:dyDescent="0.15">
      <c r="A25" s="2" t="s">
        <v>146</v>
      </c>
      <c r="B25" s="2" t="s">
        <v>147</v>
      </c>
      <c r="C25" s="2" t="s">
        <v>140</v>
      </c>
      <c r="D25" s="2"/>
      <c r="E25" s="2" t="s">
        <v>52</v>
      </c>
      <c r="F25" s="2" t="s">
        <v>141</v>
      </c>
      <c r="G25" s="7"/>
    </row>
    <row r="26" spans="1:7" ht="15.75" customHeight="1" x14ac:dyDescent="0.15">
      <c r="A26" s="2" t="s">
        <v>148</v>
      </c>
      <c r="B26" s="2" t="s">
        <v>149</v>
      </c>
      <c r="C26" s="2" t="s">
        <v>150</v>
      </c>
      <c r="D26" s="2"/>
      <c r="E26" s="2" t="s">
        <v>52</v>
      </c>
      <c r="F26" s="2" t="s">
        <v>141</v>
      </c>
      <c r="G26" s="7"/>
    </row>
    <row r="27" spans="1:7" ht="15.75" customHeight="1" x14ac:dyDescent="0.15">
      <c r="A27" s="2" t="s">
        <v>151</v>
      </c>
      <c r="B27" s="2" t="s">
        <v>152</v>
      </c>
      <c r="C27" s="2" t="s">
        <v>140</v>
      </c>
      <c r="D27" s="2"/>
      <c r="E27" s="2" t="s">
        <v>52</v>
      </c>
      <c r="F27" s="2" t="s">
        <v>141</v>
      </c>
      <c r="G27" s="7"/>
    </row>
    <row r="28" spans="1:7" ht="15.75" customHeight="1" x14ac:dyDescent="0.15">
      <c r="A28" s="2" t="s">
        <v>153</v>
      </c>
      <c r="B28" s="2" t="s">
        <v>154</v>
      </c>
      <c r="C28" s="2" t="s">
        <v>155</v>
      </c>
      <c r="D28" s="2"/>
      <c r="E28" s="2" t="s">
        <v>52</v>
      </c>
      <c r="F28" s="2" t="s">
        <v>141</v>
      </c>
      <c r="G28" s="7"/>
    </row>
    <row r="29" spans="1:7" ht="15.75" customHeight="1" x14ac:dyDescent="0.15">
      <c r="A29" s="2" t="s">
        <v>156</v>
      </c>
      <c r="B29" s="2" t="s">
        <v>157</v>
      </c>
      <c r="C29" s="2" t="s">
        <v>155</v>
      </c>
      <c r="D29" s="2"/>
      <c r="E29" s="2" t="s">
        <v>52</v>
      </c>
      <c r="F29" s="2" t="s">
        <v>141</v>
      </c>
      <c r="G29" s="7"/>
    </row>
    <row r="30" spans="1:7" ht="15.75" customHeight="1" x14ac:dyDescent="0.15">
      <c r="A30" s="2" t="s">
        <v>158</v>
      </c>
      <c r="B30" s="2" t="s">
        <v>159</v>
      </c>
      <c r="C30" s="2" t="s">
        <v>155</v>
      </c>
      <c r="D30" s="2"/>
      <c r="E30" s="2" t="s">
        <v>52</v>
      </c>
      <c r="F30" s="2" t="s">
        <v>141</v>
      </c>
      <c r="G30" s="7"/>
    </row>
    <row r="31" spans="1:7" ht="15.75" customHeight="1" x14ac:dyDescent="0.15">
      <c r="A31" s="2" t="s">
        <v>160</v>
      </c>
      <c r="B31" s="2" t="s">
        <v>161</v>
      </c>
      <c r="C31" s="2" t="s">
        <v>140</v>
      </c>
      <c r="D31" s="2"/>
      <c r="E31" s="2" t="s">
        <v>52</v>
      </c>
      <c r="F31" s="2" t="s">
        <v>141</v>
      </c>
      <c r="G31" s="7"/>
    </row>
    <row r="32" spans="1:7" ht="15.75" customHeight="1" x14ac:dyDescent="0.15">
      <c r="A32" s="2" t="s">
        <v>162</v>
      </c>
      <c r="B32" s="2" t="s">
        <v>163</v>
      </c>
      <c r="C32" s="2" t="s">
        <v>164</v>
      </c>
      <c r="D32" s="2"/>
      <c r="E32" s="2" t="s">
        <v>52</v>
      </c>
      <c r="F32" s="2" t="s">
        <v>165</v>
      </c>
      <c r="G32" s="7"/>
    </row>
    <row r="33" spans="1:7" ht="15.75" customHeight="1" x14ac:dyDescent="0.15">
      <c r="A33" s="2" t="s">
        <v>167</v>
      </c>
      <c r="B33" s="2" t="s">
        <v>168</v>
      </c>
      <c r="C33" s="2" t="s">
        <v>169</v>
      </c>
      <c r="D33" s="2"/>
      <c r="E33" s="2" t="s">
        <v>52</v>
      </c>
      <c r="F33" s="2" t="s">
        <v>165</v>
      </c>
      <c r="G33" s="7"/>
    </row>
    <row r="34" spans="1:7" ht="15.75" customHeight="1" x14ac:dyDescent="0.15">
      <c r="A34" s="2" t="s">
        <v>170</v>
      </c>
      <c r="B34" s="2" t="s">
        <v>171</v>
      </c>
      <c r="C34" s="2" t="s">
        <v>172</v>
      </c>
      <c r="D34" s="2"/>
      <c r="E34" s="2" t="s">
        <v>52</v>
      </c>
      <c r="F34" s="2" t="s">
        <v>165</v>
      </c>
      <c r="G34" s="7"/>
    </row>
    <row r="35" spans="1:7" ht="15.75" customHeight="1" x14ac:dyDescent="0.15">
      <c r="A35" s="2" t="s">
        <v>173</v>
      </c>
      <c r="B35" s="2" t="s">
        <v>174</v>
      </c>
      <c r="C35" s="2" t="s">
        <v>140</v>
      </c>
      <c r="D35" s="2"/>
      <c r="E35" s="2" t="s">
        <v>52</v>
      </c>
      <c r="F35" s="2" t="s">
        <v>165</v>
      </c>
      <c r="G35" s="7"/>
    </row>
    <row r="36" spans="1:7" ht="15.75" customHeight="1" x14ac:dyDescent="0.15">
      <c r="A36" s="2" t="s">
        <v>175</v>
      </c>
      <c r="B36" s="2" t="s">
        <v>176</v>
      </c>
      <c r="C36" s="2" t="s">
        <v>177</v>
      </c>
      <c r="D36" s="2"/>
      <c r="E36" s="2" t="s">
        <v>52</v>
      </c>
      <c r="F36" s="2" t="s">
        <v>165</v>
      </c>
      <c r="G36" s="7"/>
    </row>
    <row r="37" spans="1:7" ht="15.75" customHeight="1" x14ac:dyDescent="0.15">
      <c r="A37" s="2" t="s">
        <v>178</v>
      </c>
      <c r="B37" s="2" t="s">
        <v>179</v>
      </c>
      <c r="C37" s="2" t="s">
        <v>180</v>
      </c>
      <c r="D37" s="2"/>
      <c r="E37" s="2" t="s">
        <v>52</v>
      </c>
      <c r="F37" s="2" t="s">
        <v>165</v>
      </c>
      <c r="G37" s="7"/>
    </row>
    <row r="38" spans="1:7" ht="15.75" customHeight="1" x14ac:dyDescent="0.15">
      <c r="A38" s="2" t="s">
        <v>181</v>
      </c>
      <c r="B38" s="2" t="s">
        <v>182</v>
      </c>
      <c r="C38" s="2" t="s">
        <v>183</v>
      </c>
      <c r="D38" s="2"/>
      <c r="E38" s="2" t="s">
        <v>52</v>
      </c>
      <c r="F38" s="2" t="s">
        <v>165</v>
      </c>
      <c r="G38" s="7"/>
    </row>
    <row r="39" spans="1:7" ht="15.75" customHeight="1" x14ac:dyDescent="0.15">
      <c r="A39" s="2" t="s">
        <v>184</v>
      </c>
      <c r="B39" s="2" t="s">
        <v>185</v>
      </c>
      <c r="C39" s="2" t="s">
        <v>155</v>
      </c>
      <c r="D39" s="2"/>
      <c r="E39" s="2" t="s">
        <v>52</v>
      </c>
      <c r="F39" s="2" t="s">
        <v>165</v>
      </c>
      <c r="G39" s="7"/>
    </row>
    <row r="40" spans="1:7" ht="15.75" customHeight="1" x14ac:dyDescent="0.15">
      <c r="A40" s="2" t="s">
        <v>186</v>
      </c>
      <c r="B40" s="2" t="s">
        <v>187</v>
      </c>
      <c r="C40" s="2" t="s">
        <v>188</v>
      </c>
      <c r="D40" s="2"/>
      <c r="E40" s="2" t="s">
        <v>52</v>
      </c>
      <c r="F40" s="2" t="s">
        <v>165</v>
      </c>
      <c r="G40" s="7"/>
    </row>
    <row r="41" spans="1:7" ht="15.75" customHeight="1" x14ac:dyDescent="0.15">
      <c r="A41" s="2" t="s">
        <v>189</v>
      </c>
      <c r="B41" s="2" t="s">
        <v>190</v>
      </c>
      <c r="C41" s="2" t="s">
        <v>191</v>
      </c>
      <c r="D41" s="2"/>
      <c r="E41" s="2" t="s">
        <v>52</v>
      </c>
      <c r="F41" s="2" t="s">
        <v>165</v>
      </c>
      <c r="G41" s="7"/>
    </row>
    <row r="42" spans="1:7" ht="15.75" customHeight="1" x14ac:dyDescent="0.15">
      <c r="A42" s="2" t="s">
        <v>192</v>
      </c>
      <c r="B42" s="2" t="s">
        <v>193</v>
      </c>
      <c r="C42" s="2" t="s">
        <v>150</v>
      </c>
      <c r="D42" s="2"/>
      <c r="E42" s="2" t="s">
        <v>52</v>
      </c>
      <c r="F42" s="2" t="s">
        <v>165</v>
      </c>
      <c r="G42" s="7"/>
    </row>
    <row r="43" spans="1:7" ht="15.75" customHeight="1" x14ac:dyDescent="0.15">
      <c r="A43" s="2" t="s">
        <v>194</v>
      </c>
      <c r="B43" s="2" t="s">
        <v>195</v>
      </c>
      <c r="C43" s="2" t="s">
        <v>196</v>
      </c>
      <c r="D43" s="2"/>
      <c r="E43" s="2" t="s">
        <v>52</v>
      </c>
      <c r="F43" s="2" t="s">
        <v>165</v>
      </c>
      <c r="G43" s="7"/>
    </row>
    <row r="44" spans="1:7" ht="15.75" customHeight="1" x14ac:dyDescent="0.15">
      <c r="A44" s="2" t="s">
        <v>197</v>
      </c>
      <c r="B44" s="2" t="s">
        <v>198</v>
      </c>
      <c r="C44" s="2" t="s">
        <v>199</v>
      </c>
      <c r="D44" s="2"/>
      <c r="E44" s="2" t="s">
        <v>52</v>
      </c>
      <c r="F44" s="2" t="s">
        <v>165</v>
      </c>
      <c r="G44" s="7"/>
    </row>
    <row r="45" spans="1:7" ht="15.75" customHeight="1" x14ac:dyDescent="0.15">
      <c r="A45" s="2" t="s">
        <v>200</v>
      </c>
      <c r="B45" s="2" t="s">
        <v>201</v>
      </c>
      <c r="C45" s="2" t="s">
        <v>202</v>
      </c>
      <c r="D45" s="2"/>
      <c r="E45" s="2" t="s">
        <v>52</v>
      </c>
      <c r="F45" s="2" t="s">
        <v>165</v>
      </c>
      <c r="G45" s="7"/>
    </row>
    <row r="46" spans="1:7" ht="13" x14ac:dyDescent="0.15">
      <c r="A46" s="2" t="s">
        <v>203</v>
      </c>
      <c r="B46" s="2" t="s">
        <v>204</v>
      </c>
      <c r="C46" s="2" t="s">
        <v>205</v>
      </c>
      <c r="D46" s="2"/>
      <c r="E46" s="2" t="s">
        <v>52</v>
      </c>
      <c r="F46" s="2" t="s">
        <v>165</v>
      </c>
      <c r="G46" s="7"/>
    </row>
    <row r="47" spans="1:7" ht="13" x14ac:dyDescent="0.15">
      <c r="A47" s="2" t="s">
        <v>206</v>
      </c>
      <c r="B47" s="2" t="s">
        <v>207</v>
      </c>
      <c r="C47" s="2" t="s">
        <v>208</v>
      </c>
      <c r="D47" s="2"/>
      <c r="E47" s="2" t="s">
        <v>52</v>
      </c>
      <c r="F47" s="2" t="s">
        <v>165</v>
      </c>
      <c r="G47" s="7"/>
    </row>
    <row r="48" spans="1:7" ht="13" x14ac:dyDescent="0.15">
      <c r="A48" s="2" t="s">
        <v>209</v>
      </c>
      <c r="B48" s="2" t="s">
        <v>210</v>
      </c>
      <c r="C48" s="2" t="s">
        <v>211</v>
      </c>
      <c r="D48" s="2"/>
      <c r="E48" s="2" t="s">
        <v>52</v>
      </c>
      <c r="F48" s="2" t="s">
        <v>165</v>
      </c>
      <c r="G48" s="7"/>
    </row>
    <row r="49" spans="1:7" ht="13" x14ac:dyDescent="0.15">
      <c r="A49" s="2" t="s">
        <v>212</v>
      </c>
      <c r="B49" s="2" t="s">
        <v>213</v>
      </c>
      <c r="C49" s="2" t="s">
        <v>214</v>
      </c>
      <c r="D49" s="2"/>
      <c r="E49" s="2" t="s">
        <v>52</v>
      </c>
      <c r="F49" s="2" t="s">
        <v>165</v>
      </c>
      <c r="G49" s="7"/>
    </row>
    <row r="50" spans="1:7" ht="13" x14ac:dyDescent="0.15">
      <c r="A50" s="2" t="s">
        <v>215</v>
      </c>
      <c r="B50" s="2" t="s">
        <v>216</v>
      </c>
      <c r="C50" s="2" t="s">
        <v>217</v>
      </c>
      <c r="D50" s="2"/>
      <c r="E50" s="2" t="s">
        <v>52</v>
      </c>
      <c r="F50" s="2" t="s">
        <v>165</v>
      </c>
      <c r="G50" s="7"/>
    </row>
    <row r="51" spans="1:7" ht="13" x14ac:dyDescent="0.15">
      <c r="A51" s="2" t="s">
        <v>218</v>
      </c>
      <c r="B51" s="2" t="s">
        <v>219</v>
      </c>
      <c r="C51" s="2" t="s">
        <v>220</v>
      </c>
      <c r="D51" s="2"/>
      <c r="E51" s="2" t="s">
        <v>52</v>
      </c>
      <c r="F51" s="2" t="s">
        <v>165</v>
      </c>
      <c r="G51" s="7"/>
    </row>
    <row r="52" spans="1:7" ht="13" x14ac:dyDescent="0.15">
      <c r="A52" s="2" t="s">
        <v>221</v>
      </c>
      <c r="B52" s="2" t="s">
        <v>222</v>
      </c>
      <c r="C52" s="2" t="s">
        <v>223</v>
      </c>
      <c r="D52" s="2"/>
      <c r="E52" s="2" t="s">
        <v>76</v>
      </c>
      <c r="F52" s="2" t="s">
        <v>224</v>
      </c>
      <c r="G52" s="7"/>
    </row>
    <row r="53" spans="1:7" ht="13" x14ac:dyDescent="0.15">
      <c r="A53" s="2" t="s">
        <v>225</v>
      </c>
      <c r="B53" s="2" t="s">
        <v>226</v>
      </c>
      <c r="C53" s="2" t="s">
        <v>223</v>
      </c>
      <c r="D53" s="2"/>
      <c r="E53" s="2" t="s">
        <v>76</v>
      </c>
      <c r="F53" s="2" t="s">
        <v>224</v>
      </c>
      <c r="G53" s="7"/>
    </row>
    <row r="54" spans="1:7" ht="13" x14ac:dyDescent="0.15">
      <c r="A54" s="2" t="s">
        <v>227</v>
      </c>
      <c r="B54" s="2" t="s">
        <v>228</v>
      </c>
      <c r="C54" s="2" t="s">
        <v>229</v>
      </c>
      <c r="D54" s="2"/>
      <c r="E54" s="2" t="s">
        <v>76</v>
      </c>
      <c r="F54" s="2" t="s">
        <v>224</v>
      </c>
      <c r="G54" s="7"/>
    </row>
    <row r="55" spans="1:7" ht="13" x14ac:dyDescent="0.15">
      <c r="A55" s="2" t="s">
        <v>230</v>
      </c>
      <c r="B55" s="2" t="s">
        <v>231</v>
      </c>
      <c r="C55" s="2" t="s">
        <v>229</v>
      </c>
      <c r="D55" s="2"/>
      <c r="E55" s="2" t="s">
        <v>76</v>
      </c>
      <c r="F55" s="2" t="s">
        <v>224</v>
      </c>
      <c r="G55" s="7"/>
    </row>
    <row r="56" spans="1:7" ht="13" x14ac:dyDescent="0.15">
      <c r="A56" s="2" t="s">
        <v>232</v>
      </c>
      <c r="B56" s="2" t="s">
        <v>233</v>
      </c>
      <c r="C56" s="2" t="s">
        <v>229</v>
      </c>
      <c r="D56" s="2"/>
      <c r="E56" s="2" t="s">
        <v>76</v>
      </c>
      <c r="F56" s="2" t="s">
        <v>224</v>
      </c>
      <c r="G56" s="7"/>
    </row>
    <row r="57" spans="1:7" ht="13" x14ac:dyDescent="0.15">
      <c r="A57" s="2" t="s">
        <v>234</v>
      </c>
      <c r="B57" s="2" t="s">
        <v>235</v>
      </c>
      <c r="C57" s="2" t="s">
        <v>229</v>
      </c>
      <c r="D57" s="2"/>
      <c r="E57" s="2" t="s">
        <v>76</v>
      </c>
      <c r="F57" s="2" t="s">
        <v>224</v>
      </c>
      <c r="G57" s="7"/>
    </row>
    <row r="58" spans="1:7" ht="13" x14ac:dyDescent="0.15">
      <c r="A58" s="2" t="s">
        <v>236</v>
      </c>
      <c r="B58" s="2" t="s">
        <v>237</v>
      </c>
      <c r="C58" s="2" t="s">
        <v>223</v>
      </c>
      <c r="D58" s="2"/>
      <c r="E58" s="2" t="s">
        <v>76</v>
      </c>
      <c r="F58" s="2" t="s">
        <v>224</v>
      </c>
      <c r="G58" s="7"/>
    </row>
    <row r="59" spans="1:7" ht="13" x14ac:dyDescent="0.15">
      <c r="A59" s="2" t="s">
        <v>238</v>
      </c>
      <c r="B59" s="2" t="s">
        <v>239</v>
      </c>
      <c r="C59" s="2" t="s">
        <v>223</v>
      </c>
      <c r="D59" s="2"/>
      <c r="E59" s="2" t="s">
        <v>76</v>
      </c>
      <c r="F59" s="2" t="s">
        <v>224</v>
      </c>
      <c r="G59" s="7"/>
    </row>
    <row r="60" spans="1:7" ht="13" x14ac:dyDescent="0.15">
      <c r="A60" s="2" t="s">
        <v>240</v>
      </c>
      <c r="B60" s="2" t="s">
        <v>241</v>
      </c>
      <c r="C60" s="2" t="s">
        <v>229</v>
      </c>
      <c r="D60" s="2"/>
      <c r="E60" s="2" t="s">
        <v>76</v>
      </c>
      <c r="F60" s="2" t="s">
        <v>224</v>
      </c>
      <c r="G60" s="7"/>
    </row>
    <row r="61" spans="1:7" ht="13" x14ac:dyDescent="0.15">
      <c r="A61" s="2" t="s">
        <v>242</v>
      </c>
      <c r="B61" s="2" t="s">
        <v>243</v>
      </c>
      <c r="C61" s="2" t="s">
        <v>229</v>
      </c>
      <c r="D61" s="2"/>
      <c r="E61" s="2" t="s">
        <v>76</v>
      </c>
      <c r="F61" s="2" t="s">
        <v>224</v>
      </c>
      <c r="G61" s="7"/>
    </row>
    <row r="62" spans="1:7" ht="13" x14ac:dyDescent="0.15">
      <c r="A62" s="2" t="s">
        <v>244</v>
      </c>
      <c r="B62" s="2" t="s">
        <v>245</v>
      </c>
      <c r="C62" s="2" t="s">
        <v>229</v>
      </c>
      <c r="D62" s="2"/>
      <c r="E62" s="2" t="s">
        <v>76</v>
      </c>
      <c r="F62" s="2" t="s">
        <v>224</v>
      </c>
      <c r="G62" s="7"/>
    </row>
    <row r="63" spans="1:7" ht="13" x14ac:dyDescent="0.15">
      <c r="A63" s="2" t="s">
        <v>246</v>
      </c>
      <c r="B63" s="2" t="s">
        <v>247</v>
      </c>
      <c r="C63" s="2" t="s">
        <v>223</v>
      </c>
      <c r="D63" s="2"/>
      <c r="E63" s="2" t="s">
        <v>76</v>
      </c>
      <c r="F63" s="2" t="s">
        <v>224</v>
      </c>
      <c r="G63" s="7"/>
    </row>
    <row r="64" spans="1:7" ht="13" x14ac:dyDescent="0.15">
      <c r="A64" s="2" t="s">
        <v>248</v>
      </c>
      <c r="B64" s="2" t="s">
        <v>249</v>
      </c>
      <c r="C64" s="2" t="s">
        <v>223</v>
      </c>
      <c r="D64" s="2"/>
      <c r="E64" s="2" t="s">
        <v>76</v>
      </c>
      <c r="F64" s="2" t="s">
        <v>224</v>
      </c>
      <c r="G64" s="7"/>
    </row>
    <row r="65" spans="1:7" ht="13" x14ac:dyDescent="0.15">
      <c r="A65" s="2" t="s">
        <v>250</v>
      </c>
      <c r="B65" s="2" t="s">
        <v>251</v>
      </c>
      <c r="C65" s="2" t="s">
        <v>252</v>
      </c>
      <c r="D65" s="2" t="s">
        <v>229</v>
      </c>
      <c r="E65" s="2" t="s">
        <v>76</v>
      </c>
      <c r="F65" s="2" t="s">
        <v>224</v>
      </c>
      <c r="G65" s="7"/>
    </row>
    <row r="66" spans="1:7" ht="13" x14ac:dyDescent="0.15">
      <c r="A66" s="2" t="s">
        <v>253</v>
      </c>
      <c r="B66" s="2" t="s">
        <v>127</v>
      </c>
      <c r="C66" s="2" t="s">
        <v>252</v>
      </c>
      <c r="D66" s="2" t="s">
        <v>229</v>
      </c>
      <c r="E66" s="2" t="s">
        <v>76</v>
      </c>
      <c r="F66" s="2" t="s">
        <v>224</v>
      </c>
      <c r="G66" s="7"/>
    </row>
    <row r="67" spans="1:7" ht="13" x14ac:dyDescent="0.15">
      <c r="A67" s="2" t="s">
        <v>254</v>
      </c>
      <c r="B67" s="2" t="s">
        <v>255</v>
      </c>
      <c r="C67" s="2" t="s">
        <v>256</v>
      </c>
      <c r="D67" s="2" t="s">
        <v>223</v>
      </c>
      <c r="E67" s="2" t="s">
        <v>76</v>
      </c>
      <c r="F67" s="2" t="s">
        <v>224</v>
      </c>
      <c r="G67" s="7"/>
    </row>
    <row r="68" spans="1:7" ht="13" x14ac:dyDescent="0.15">
      <c r="A68" s="2" t="s">
        <v>257</v>
      </c>
      <c r="B68" s="2" t="s">
        <v>258</v>
      </c>
      <c r="C68" s="2" t="s">
        <v>252</v>
      </c>
      <c r="D68" s="2" t="s">
        <v>229</v>
      </c>
      <c r="E68" s="2" t="s">
        <v>76</v>
      </c>
      <c r="F68" s="2" t="s">
        <v>224</v>
      </c>
      <c r="G68" s="7"/>
    </row>
    <row r="69" spans="1:7" ht="13" x14ac:dyDescent="0.15">
      <c r="A69" s="2" t="s">
        <v>259</v>
      </c>
      <c r="B69" s="2" t="s">
        <v>260</v>
      </c>
      <c r="C69" s="2" t="s">
        <v>256</v>
      </c>
      <c r="D69" s="2" t="s">
        <v>223</v>
      </c>
      <c r="E69" s="2" t="s">
        <v>76</v>
      </c>
      <c r="F69" s="2" t="s">
        <v>224</v>
      </c>
      <c r="G69" s="7"/>
    </row>
    <row r="70" spans="1:7" ht="13" x14ac:dyDescent="0.15">
      <c r="A70" s="2" t="s">
        <v>261</v>
      </c>
      <c r="B70" s="2" t="s">
        <v>262</v>
      </c>
      <c r="C70" s="2" t="s">
        <v>252</v>
      </c>
      <c r="D70" s="2" t="s">
        <v>229</v>
      </c>
      <c r="E70" s="2" t="s">
        <v>76</v>
      </c>
      <c r="F70" s="2" t="s">
        <v>224</v>
      </c>
      <c r="G70" s="7"/>
    </row>
    <row r="71" spans="1:7" ht="13" x14ac:dyDescent="0.15">
      <c r="A71" s="2" t="s">
        <v>263</v>
      </c>
      <c r="B71" s="2" t="s">
        <v>219</v>
      </c>
      <c r="C71" s="2" t="s">
        <v>256</v>
      </c>
      <c r="D71" s="2" t="s">
        <v>223</v>
      </c>
      <c r="E71" s="2" t="s">
        <v>76</v>
      </c>
      <c r="F71" s="2" t="s">
        <v>224</v>
      </c>
      <c r="G71" s="7"/>
    </row>
    <row r="72" spans="1:7" ht="13" x14ac:dyDescent="0.15">
      <c r="A72" s="2" t="s">
        <v>264</v>
      </c>
      <c r="B72" s="2" t="s">
        <v>265</v>
      </c>
      <c r="C72" s="2" t="s">
        <v>223</v>
      </c>
      <c r="D72" s="2"/>
      <c r="E72" s="2" t="s">
        <v>76</v>
      </c>
      <c r="F72" s="2" t="s">
        <v>266</v>
      </c>
      <c r="G72" s="7"/>
    </row>
    <row r="73" spans="1:7" ht="13" x14ac:dyDescent="0.15">
      <c r="A73" s="2" t="s">
        <v>267</v>
      </c>
      <c r="B73" s="2" t="s">
        <v>137</v>
      </c>
      <c r="C73" s="2" t="s">
        <v>223</v>
      </c>
      <c r="D73" s="2"/>
      <c r="E73" s="2" t="s">
        <v>76</v>
      </c>
      <c r="F73" s="2" t="s">
        <v>266</v>
      </c>
      <c r="G73" s="7"/>
    </row>
    <row r="74" spans="1:7" ht="13" x14ac:dyDescent="0.15">
      <c r="A74" s="2" t="s">
        <v>268</v>
      </c>
      <c r="B74" s="2" t="s">
        <v>269</v>
      </c>
      <c r="C74" s="2" t="s">
        <v>223</v>
      </c>
      <c r="D74" s="2"/>
      <c r="E74" s="2" t="s">
        <v>76</v>
      </c>
      <c r="F74" s="2" t="s">
        <v>266</v>
      </c>
      <c r="G74" s="7"/>
    </row>
    <row r="75" spans="1:7" ht="13" x14ac:dyDescent="0.15">
      <c r="A75" s="2" t="s">
        <v>270</v>
      </c>
      <c r="B75" s="2" t="s">
        <v>271</v>
      </c>
      <c r="C75" s="2" t="s">
        <v>229</v>
      </c>
      <c r="D75" s="2"/>
      <c r="E75" s="2" t="s">
        <v>76</v>
      </c>
      <c r="F75" s="2" t="s">
        <v>266</v>
      </c>
      <c r="G75" s="7"/>
    </row>
    <row r="76" spans="1:7" ht="13" x14ac:dyDescent="0.15">
      <c r="A76" s="2" t="s">
        <v>272</v>
      </c>
      <c r="B76" s="2" t="s">
        <v>273</v>
      </c>
      <c r="C76" s="2" t="s">
        <v>229</v>
      </c>
      <c r="D76" s="2"/>
      <c r="E76" s="2" t="s">
        <v>76</v>
      </c>
      <c r="F76" s="2" t="s">
        <v>266</v>
      </c>
      <c r="G76" s="7"/>
    </row>
    <row r="77" spans="1:7" ht="13" x14ac:dyDescent="0.15">
      <c r="A77" s="2" t="s">
        <v>274</v>
      </c>
      <c r="B77" s="2" t="s">
        <v>133</v>
      </c>
      <c r="C77" s="2" t="s">
        <v>223</v>
      </c>
      <c r="D77" s="2"/>
      <c r="E77" s="2" t="s">
        <v>76</v>
      </c>
      <c r="F77" s="2" t="s">
        <v>266</v>
      </c>
      <c r="G77" s="7"/>
    </row>
    <row r="78" spans="1:7" ht="13" x14ac:dyDescent="0.15">
      <c r="A78" s="2" t="s">
        <v>275</v>
      </c>
      <c r="B78" s="2" t="s">
        <v>276</v>
      </c>
      <c r="C78" s="2" t="s">
        <v>229</v>
      </c>
      <c r="D78" s="2"/>
      <c r="E78" s="2" t="s">
        <v>76</v>
      </c>
      <c r="F78" s="2" t="s">
        <v>266</v>
      </c>
      <c r="G78" s="7"/>
    </row>
    <row r="79" spans="1:7" ht="13" x14ac:dyDescent="0.15">
      <c r="A79" s="2" t="s">
        <v>277</v>
      </c>
      <c r="B79" s="2" t="s">
        <v>207</v>
      </c>
      <c r="C79" s="2" t="s">
        <v>223</v>
      </c>
      <c r="D79" s="2"/>
      <c r="E79" s="2" t="s">
        <v>76</v>
      </c>
      <c r="F79" s="2" t="s">
        <v>266</v>
      </c>
      <c r="G79" s="7"/>
    </row>
    <row r="80" spans="1:7" ht="13" x14ac:dyDescent="0.15">
      <c r="A80" s="2" t="s">
        <v>278</v>
      </c>
      <c r="B80" s="2" t="s">
        <v>279</v>
      </c>
      <c r="C80" s="2" t="s">
        <v>223</v>
      </c>
      <c r="D80" s="2"/>
      <c r="E80" s="2" t="s">
        <v>76</v>
      </c>
      <c r="F80" s="2" t="s">
        <v>266</v>
      </c>
      <c r="G80" s="7"/>
    </row>
    <row r="81" spans="1:7" ht="13" x14ac:dyDescent="0.15">
      <c r="A81" s="2" t="s">
        <v>280</v>
      </c>
      <c r="B81" s="2" t="s">
        <v>193</v>
      </c>
      <c r="C81" s="2" t="s">
        <v>252</v>
      </c>
      <c r="D81" s="2" t="s">
        <v>229</v>
      </c>
      <c r="E81" s="2" t="s">
        <v>76</v>
      </c>
      <c r="F81" s="2" t="s">
        <v>266</v>
      </c>
      <c r="G81" s="7"/>
    </row>
    <row r="82" spans="1:7" ht="15" x14ac:dyDescent="0.2">
      <c r="A82" s="11" t="s">
        <v>281</v>
      </c>
      <c r="B82" s="11" t="s">
        <v>282</v>
      </c>
      <c r="C82" s="12" t="s">
        <v>223</v>
      </c>
      <c r="D82" s="12"/>
      <c r="E82" s="11" t="s">
        <v>76</v>
      </c>
      <c r="F82" s="2" t="s">
        <v>165</v>
      </c>
      <c r="G82" s="7"/>
    </row>
    <row r="83" spans="1:7" ht="15" x14ac:dyDescent="0.2">
      <c r="A83" s="11" t="s">
        <v>283</v>
      </c>
      <c r="B83" s="11" t="s">
        <v>105</v>
      </c>
      <c r="C83" s="12" t="s">
        <v>223</v>
      </c>
      <c r="D83" s="12"/>
      <c r="E83" s="11" t="s">
        <v>76</v>
      </c>
      <c r="F83" s="2" t="s">
        <v>165</v>
      </c>
      <c r="G83" s="7"/>
    </row>
    <row r="84" spans="1:7" ht="15" x14ac:dyDescent="0.2">
      <c r="A84" s="2" t="s">
        <v>284</v>
      </c>
      <c r="B84" s="2" t="s">
        <v>285</v>
      </c>
      <c r="C84" s="13" t="s">
        <v>223</v>
      </c>
      <c r="D84" s="13"/>
      <c r="E84" s="11" t="s">
        <v>76</v>
      </c>
      <c r="F84" s="2" t="s">
        <v>165</v>
      </c>
      <c r="G84" s="7"/>
    </row>
    <row r="85" spans="1:7" ht="15" x14ac:dyDescent="0.2">
      <c r="A85" s="11" t="s">
        <v>286</v>
      </c>
      <c r="B85" s="11" t="s">
        <v>287</v>
      </c>
      <c r="C85" s="12" t="s">
        <v>223</v>
      </c>
      <c r="D85" s="12"/>
      <c r="E85" s="11" t="s">
        <v>76</v>
      </c>
      <c r="F85" s="2" t="s">
        <v>165</v>
      </c>
      <c r="G85" s="7"/>
    </row>
    <row r="86" spans="1:7" ht="15" x14ac:dyDescent="0.2">
      <c r="A86" s="11" t="s">
        <v>288</v>
      </c>
      <c r="B86" s="11" t="s">
        <v>289</v>
      </c>
      <c r="C86" s="12" t="s">
        <v>223</v>
      </c>
      <c r="D86" s="12"/>
      <c r="E86" s="11" t="s">
        <v>76</v>
      </c>
      <c r="F86" s="2" t="s">
        <v>165</v>
      </c>
      <c r="G86" s="7"/>
    </row>
    <row r="87" spans="1:7" ht="15" x14ac:dyDescent="0.2">
      <c r="A87" s="11" t="s">
        <v>290</v>
      </c>
      <c r="B87" s="11" t="s">
        <v>291</v>
      </c>
      <c r="C87" s="12" t="s">
        <v>256</v>
      </c>
      <c r="D87" s="12" t="s">
        <v>223</v>
      </c>
      <c r="E87" s="11" t="s">
        <v>76</v>
      </c>
      <c r="F87" s="2" t="s">
        <v>165</v>
      </c>
      <c r="G87" s="7"/>
    </row>
    <row r="88" spans="1:7" ht="15" x14ac:dyDescent="0.2">
      <c r="A88" s="2" t="s">
        <v>292</v>
      </c>
      <c r="B88" s="2" t="s">
        <v>293</v>
      </c>
      <c r="C88" s="13" t="s">
        <v>256</v>
      </c>
      <c r="D88" s="13" t="s">
        <v>223</v>
      </c>
      <c r="E88" s="11" t="s">
        <v>76</v>
      </c>
      <c r="F88" s="2" t="s">
        <v>165</v>
      </c>
      <c r="G88" s="7"/>
    </row>
    <row r="89" spans="1:7" ht="15" x14ac:dyDescent="0.2">
      <c r="A89" s="2" t="s">
        <v>294</v>
      </c>
      <c r="B89" s="2" t="s">
        <v>295</v>
      </c>
      <c r="C89" s="13" t="s">
        <v>256</v>
      </c>
      <c r="D89" s="13" t="s">
        <v>223</v>
      </c>
      <c r="E89" s="11" t="s">
        <v>76</v>
      </c>
      <c r="F89" s="2" t="s">
        <v>165</v>
      </c>
      <c r="G89" s="7"/>
    </row>
    <row r="90" spans="1:7" ht="15" x14ac:dyDescent="0.2">
      <c r="A90" s="11" t="s">
        <v>296</v>
      </c>
      <c r="B90" s="11" t="s">
        <v>297</v>
      </c>
      <c r="C90" s="12" t="s">
        <v>256</v>
      </c>
      <c r="D90" s="12" t="s">
        <v>223</v>
      </c>
      <c r="E90" s="11" t="s">
        <v>76</v>
      </c>
      <c r="F90" s="2" t="s">
        <v>165</v>
      </c>
      <c r="G90" s="7"/>
    </row>
    <row r="91" spans="1:7" ht="15" x14ac:dyDescent="0.2">
      <c r="A91" s="11" t="s">
        <v>298</v>
      </c>
      <c r="B91" s="11" t="s">
        <v>299</v>
      </c>
      <c r="C91" s="12" t="s">
        <v>256</v>
      </c>
      <c r="D91" s="12" t="s">
        <v>223</v>
      </c>
      <c r="E91" s="11" t="s">
        <v>76</v>
      </c>
      <c r="F91" s="2" t="s">
        <v>165</v>
      </c>
      <c r="G91" s="7"/>
    </row>
    <row r="92" spans="1:7" ht="15" x14ac:dyDescent="0.2">
      <c r="A92" s="11" t="s">
        <v>300</v>
      </c>
      <c r="B92" s="11" t="s">
        <v>301</v>
      </c>
      <c r="C92" s="12" t="s">
        <v>229</v>
      </c>
      <c r="D92" s="12"/>
      <c r="E92" s="11" t="s">
        <v>76</v>
      </c>
      <c r="F92" s="2" t="s">
        <v>165</v>
      </c>
      <c r="G92" s="7"/>
    </row>
    <row r="93" spans="1:7" ht="15" x14ac:dyDescent="0.2">
      <c r="A93" s="11" t="s">
        <v>302</v>
      </c>
      <c r="B93" s="11" t="s">
        <v>303</v>
      </c>
      <c r="C93" s="12" t="s">
        <v>229</v>
      </c>
      <c r="D93" s="12"/>
      <c r="E93" s="11" t="s">
        <v>76</v>
      </c>
      <c r="F93" s="2" t="s">
        <v>165</v>
      </c>
      <c r="G93" s="7"/>
    </row>
    <row r="94" spans="1:7" ht="15" x14ac:dyDescent="0.2">
      <c r="A94" s="11" t="s">
        <v>304</v>
      </c>
      <c r="B94" s="11" t="s">
        <v>305</v>
      </c>
      <c r="C94" s="12" t="s">
        <v>229</v>
      </c>
      <c r="D94" s="12"/>
      <c r="E94" s="11" t="s">
        <v>76</v>
      </c>
      <c r="F94" s="2" t="s">
        <v>165</v>
      </c>
      <c r="G94" s="7"/>
    </row>
    <row r="95" spans="1:7" ht="15" x14ac:dyDescent="0.2">
      <c r="A95" s="11" t="s">
        <v>306</v>
      </c>
      <c r="B95" s="11" t="s">
        <v>307</v>
      </c>
      <c r="C95" s="12" t="s">
        <v>229</v>
      </c>
      <c r="D95" s="12"/>
      <c r="E95" s="11" t="s">
        <v>76</v>
      </c>
      <c r="F95" s="2" t="s">
        <v>165</v>
      </c>
      <c r="G95" s="7"/>
    </row>
    <row r="96" spans="1:7" ht="15" x14ac:dyDescent="0.2">
      <c r="A96" s="11" t="s">
        <v>308</v>
      </c>
      <c r="B96" s="11" t="s">
        <v>309</v>
      </c>
      <c r="C96" s="12" t="s">
        <v>229</v>
      </c>
      <c r="D96" s="12"/>
      <c r="E96" s="11" t="s">
        <v>76</v>
      </c>
      <c r="F96" s="2" t="s">
        <v>165</v>
      </c>
      <c r="G96" s="7"/>
    </row>
    <row r="97" spans="1:7" ht="15" x14ac:dyDescent="0.2">
      <c r="A97" s="11" t="s">
        <v>310</v>
      </c>
      <c r="B97" s="11" t="s">
        <v>311</v>
      </c>
      <c r="C97" s="12" t="s">
        <v>252</v>
      </c>
      <c r="D97" s="12" t="s">
        <v>229</v>
      </c>
      <c r="E97" s="11" t="s">
        <v>76</v>
      </c>
      <c r="F97" s="2" t="s">
        <v>165</v>
      </c>
      <c r="G97" s="7"/>
    </row>
    <row r="98" spans="1:7" ht="15" x14ac:dyDescent="0.2">
      <c r="A98" s="11" t="s">
        <v>312</v>
      </c>
      <c r="B98" s="11" t="s">
        <v>313</v>
      </c>
      <c r="C98" s="12" t="s">
        <v>252</v>
      </c>
      <c r="D98" s="12" t="s">
        <v>229</v>
      </c>
      <c r="E98" s="11" t="s">
        <v>76</v>
      </c>
      <c r="F98" s="2" t="s">
        <v>165</v>
      </c>
      <c r="G98" s="7"/>
    </row>
    <row r="99" spans="1:7" ht="15" x14ac:dyDescent="0.2">
      <c r="A99" s="11" t="s">
        <v>314</v>
      </c>
      <c r="B99" s="11" t="s">
        <v>315</v>
      </c>
      <c r="C99" s="12" t="s">
        <v>252</v>
      </c>
      <c r="D99" s="12" t="s">
        <v>229</v>
      </c>
      <c r="E99" s="11" t="s">
        <v>76</v>
      </c>
      <c r="F99" s="2" t="s">
        <v>165</v>
      </c>
      <c r="G99" s="7"/>
    </row>
    <row r="100" spans="1:7" ht="15" x14ac:dyDescent="0.2">
      <c r="A100" s="11" t="s">
        <v>316</v>
      </c>
      <c r="B100" s="11" t="s">
        <v>317</v>
      </c>
      <c r="C100" s="12" t="s">
        <v>252</v>
      </c>
      <c r="D100" s="12" t="s">
        <v>229</v>
      </c>
      <c r="E100" s="11" t="s">
        <v>76</v>
      </c>
      <c r="F100" s="2" t="s">
        <v>165</v>
      </c>
      <c r="G100" s="7"/>
    </row>
    <row r="101" spans="1:7" ht="15" x14ac:dyDescent="0.2">
      <c r="A101" s="11" t="s">
        <v>318</v>
      </c>
      <c r="B101" s="11" t="s">
        <v>319</v>
      </c>
      <c r="C101" s="12" t="s">
        <v>252</v>
      </c>
      <c r="D101" s="12" t="s">
        <v>229</v>
      </c>
      <c r="E101" s="11" t="s">
        <v>76</v>
      </c>
      <c r="F101" s="2" t="s">
        <v>165</v>
      </c>
      <c r="G101" s="7"/>
    </row>
    <row r="102" spans="1:7" ht="13" x14ac:dyDescent="0.15">
      <c r="A102" s="2" t="s">
        <v>320</v>
      </c>
      <c r="B102" s="2" t="s">
        <v>231</v>
      </c>
      <c r="C102" s="2" t="s">
        <v>321</v>
      </c>
      <c r="D102" s="2"/>
      <c r="E102" s="2" t="s">
        <v>71</v>
      </c>
      <c r="F102" s="2" t="s">
        <v>322</v>
      </c>
      <c r="G102" s="7"/>
    </row>
    <row r="103" spans="1:7" ht="13" x14ac:dyDescent="0.15">
      <c r="A103" s="2" t="s">
        <v>323</v>
      </c>
      <c r="B103" s="2" t="s">
        <v>324</v>
      </c>
      <c r="C103" s="2" t="s">
        <v>321</v>
      </c>
      <c r="D103" s="2"/>
      <c r="E103" s="2" t="s">
        <v>71</v>
      </c>
      <c r="F103" s="2" t="s">
        <v>322</v>
      </c>
      <c r="G103" s="7"/>
    </row>
    <row r="104" spans="1:7" ht="13" x14ac:dyDescent="0.15">
      <c r="A104" s="2" t="s">
        <v>325</v>
      </c>
      <c r="B104" s="2" t="s">
        <v>326</v>
      </c>
      <c r="C104" s="2" t="s">
        <v>321</v>
      </c>
      <c r="D104" s="2"/>
      <c r="E104" s="2" t="s">
        <v>71</v>
      </c>
      <c r="F104" s="2" t="s">
        <v>322</v>
      </c>
      <c r="G104" s="7"/>
    </row>
    <row r="105" spans="1:7" ht="13" x14ac:dyDescent="0.15">
      <c r="A105" s="2" t="s">
        <v>327</v>
      </c>
      <c r="B105" s="2" t="s">
        <v>328</v>
      </c>
      <c r="C105" s="2" t="s">
        <v>321</v>
      </c>
      <c r="D105" s="2"/>
      <c r="E105" s="2" t="s">
        <v>71</v>
      </c>
      <c r="F105" s="2" t="s">
        <v>322</v>
      </c>
      <c r="G105" s="7"/>
    </row>
    <row r="106" spans="1:7" ht="13" x14ac:dyDescent="0.15">
      <c r="A106" s="2" t="s">
        <v>329</v>
      </c>
      <c r="B106" s="2" t="s">
        <v>330</v>
      </c>
      <c r="C106" s="2" t="s">
        <v>321</v>
      </c>
      <c r="D106" s="2"/>
      <c r="E106" s="2" t="s">
        <v>71</v>
      </c>
      <c r="F106" s="2" t="s">
        <v>322</v>
      </c>
      <c r="G106" s="7"/>
    </row>
    <row r="107" spans="1:7" ht="13" x14ac:dyDescent="0.15">
      <c r="A107" s="2" t="s">
        <v>331</v>
      </c>
      <c r="B107" s="2" t="s">
        <v>207</v>
      </c>
      <c r="C107" s="2" t="s">
        <v>321</v>
      </c>
      <c r="D107" s="2"/>
      <c r="E107" s="2" t="s">
        <v>71</v>
      </c>
      <c r="F107" s="2" t="s">
        <v>322</v>
      </c>
      <c r="G107" s="7"/>
    </row>
    <row r="108" spans="1:7" ht="13" x14ac:dyDescent="0.15">
      <c r="A108" s="2" t="s">
        <v>332</v>
      </c>
      <c r="B108" s="2" t="s">
        <v>333</v>
      </c>
      <c r="C108" s="2" t="s">
        <v>321</v>
      </c>
      <c r="D108" s="2"/>
      <c r="E108" s="2" t="s">
        <v>71</v>
      </c>
      <c r="F108" s="2" t="s">
        <v>322</v>
      </c>
      <c r="G108" s="7"/>
    </row>
    <row r="109" spans="1:7" ht="13" x14ac:dyDescent="0.15">
      <c r="A109" s="2" t="s">
        <v>334</v>
      </c>
      <c r="B109" s="2" t="s">
        <v>335</v>
      </c>
      <c r="C109" s="2" t="s">
        <v>321</v>
      </c>
      <c r="D109" s="2"/>
      <c r="E109" s="2" t="s">
        <v>71</v>
      </c>
      <c r="F109" s="2" t="s">
        <v>322</v>
      </c>
      <c r="G109" s="7"/>
    </row>
    <row r="110" spans="1:7" ht="13" x14ac:dyDescent="0.15">
      <c r="A110" s="2" t="s">
        <v>336</v>
      </c>
      <c r="B110" s="2" t="s">
        <v>337</v>
      </c>
      <c r="C110" s="2" t="s">
        <v>321</v>
      </c>
      <c r="D110" s="2"/>
      <c r="E110" s="2" t="s">
        <v>71</v>
      </c>
      <c r="F110" s="2" t="s">
        <v>322</v>
      </c>
      <c r="G110" s="7"/>
    </row>
    <row r="111" spans="1:7" ht="13" x14ac:dyDescent="0.15">
      <c r="A111" s="2" t="s">
        <v>338</v>
      </c>
      <c r="B111" s="2" t="s">
        <v>339</v>
      </c>
      <c r="C111" s="2" t="s">
        <v>321</v>
      </c>
      <c r="D111" s="2"/>
      <c r="E111" s="2" t="s">
        <v>71</v>
      </c>
      <c r="F111" s="2" t="s">
        <v>322</v>
      </c>
      <c r="G111" s="7"/>
    </row>
    <row r="112" spans="1:7" ht="13" x14ac:dyDescent="0.15">
      <c r="A112" s="2" t="s">
        <v>340</v>
      </c>
      <c r="B112" s="2" t="s">
        <v>341</v>
      </c>
      <c r="C112" s="2" t="s">
        <v>321</v>
      </c>
      <c r="D112" s="2"/>
      <c r="E112" s="2" t="s">
        <v>71</v>
      </c>
      <c r="F112" s="2" t="s">
        <v>322</v>
      </c>
      <c r="G112" s="7"/>
    </row>
    <row r="113" spans="1:7" ht="13" x14ac:dyDescent="0.15">
      <c r="A113" s="2" t="s">
        <v>342</v>
      </c>
      <c r="B113" s="2" t="s">
        <v>105</v>
      </c>
      <c r="C113" s="2" t="s">
        <v>321</v>
      </c>
      <c r="D113" s="2"/>
      <c r="E113" s="2" t="s">
        <v>71</v>
      </c>
      <c r="F113" s="2" t="s">
        <v>322</v>
      </c>
      <c r="G113" s="7"/>
    </row>
    <row r="114" spans="1:7" ht="13" x14ac:dyDescent="0.15">
      <c r="A114" s="2" t="s">
        <v>343</v>
      </c>
      <c r="B114" s="2" t="s">
        <v>344</v>
      </c>
      <c r="C114" s="2" t="s">
        <v>321</v>
      </c>
      <c r="D114" s="2"/>
      <c r="E114" s="2" t="s">
        <v>71</v>
      </c>
      <c r="F114" s="2" t="s">
        <v>322</v>
      </c>
      <c r="G114" s="7"/>
    </row>
    <row r="115" spans="1:7" ht="13" x14ac:dyDescent="0.15">
      <c r="A115" s="2" t="s">
        <v>345</v>
      </c>
      <c r="B115" s="2" t="s">
        <v>346</v>
      </c>
      <c r="C115" s="2" t="s">
        <v>321</v>
      </c>
      <c r="D115" s="2"/>
      <c r="E115" s="2" t="s">
        <v>71</v>
      </c>
      <c r="F115" s="2" t="s">
        <v>322</v>
      </c>
      <c r="G115" s="7"/>
    </row>
    <row r="116" spans="1:7" ht="13" x14ac:dyDescent="0.15">
      <c r="A116" s="2" t="s">
        <v>347</v>
      </c>
      <c r="B116" s="2" t="s">
        <v>348</v>
      </c>
      <c r="C116" s="2" t="s">
        <v>321</v>
      </c>
      <c r="D116" s="2"/>
      <c r="E116" s="2" t="s">
        <v>71</v>
      </c>
      <c r="F116" s="2" t="s">
        <v>322</v>
      </c>
      <c r="G116" s="7"/>
    </row>
    <row r="117" spans="1:7" ht="13" x14ac:dyDescent="0.15">
      <c r="A117" s="2" t="s">
        <v>349</v>
      </c>
      <c r="B117" s="2" t="s">
        <v>350</v>
      </c>
      <c r="C117" s="2" t="s">
        <v>321</v>
      </c>
      <c r="D117" s="2"/>
      <c r="E117" s="2" t="s">
        <v>71</v>
      </c>
      <c r="F117" s="2" t="s">
        <v>322</v>
      </c>
      <c r="G117" s="7"/>
    </row>
    <row r="118" spans="1:7" ht="13" x14ac:dyDescent="0.15">
      <c r="A118" s="2" t="s">
        <v>351</v>
      </c>
      <c r="B118" s="2" t="s">
        <v>198</v>
      </c>
      <c r="C118" s="2" t="s">
        <v>321</v>
      </c>
      <c r="D118" s="2"/>
      <c r="E118" s="2" t="s">
        <v>71</v>
      </c>
      <c r="F118" s="2" t="s">
        <v>322</v>
      </c>
      <c r="G118" s="7"/>
    </row>
    <row r="119" spans="1:7" ht="13" x14ac:dyDescent="0.15">
      <c r="A119" s="2" t="s">
        <v>352</v>
      </c>
      <c r="B119" s="2" t="s">
        <v>353</v>
      </c>
      <c r="C119" s="2" t="s">
        <v>321</v>
      </c>
      <c r="D119" s="2"/>
      <c r="E119" s="2" t="s">
        <v>71</v>
      </c>
      <c r="F119" s="2" t="s">
        <v>322</v>
      </c>
      <c r="G119" s="7"/>
    </row>
    <row r="120" spans="1:7" ht="13" x14ac:dyDescent="0.15">
      <c r="A120" s="2" t="s">
        <v>354</v>
      </c>
      <c r="B120" s="2" t="s">
        <v>355</v>
      </c>
      <c r="C120" s="2" t="s">
        <v>321</v>
      </c>
      <c r="D120" s="2"/>
      <c r="E120" s="2" t="s">
        <v>71</v>
      </c>
      <c r="F120" s="2" t="s">
        <v>322</v>
      </c>
      <c r="G120" s="7"/>
    </row>
    <row r="121" spans="1:7" ht="13" x14ac:dyDescent="0.15">
      <c r="A121" s="2" t="s">
        <v>356</v>
      </c>
      <c r="B121" s="2" t="s">
        <v>357</v>
      </c>
      <c r="C121" s="2" t="s">
        <v>321</v>
      </c>
      <c r="D121" s="2"/>
      <c r="E121" s="2" t="s">
        <v>71</v>
      </c>
      <c r="F121" s="2" t="s">
        <v>322</v>
      </c>
      <c r="G121" s="7"/>
    </row>
    <row r="122" spans="1:7" ht="13" x14ac:dyDescent="0.15">
      <c r="A122" s="2" t="s">
        <v>358</v>
      </c>
      <c r="B122" s="2" t="s">
        <v>359</v>
      </c>
      <c r="C122" s="2" t="s">
        <v>321</v>
      </c>
      <c r="D122" s="2"/>
      <c r="E122" s="2" t="s">
        <v>71</v>
      </c>
      <c r="F122" s="2" t="s">
        <v>322</v>
      </c>
      <c r="G122" s="7"/>
    </row>
    <row r="123" spans="1:7" ht="13" x14ac:dyDescent="0.15">
      <c r="A123" s="2" t="s">
        <v>360</v>
      </c>
      <c r="B123" s="2" t="s">
        <v>361</v>
      </c>
      <c r="C123" s="2" t="s">
        <v>321</v>
      </c>
      <c r="D123" s="2"/>
      <c r="E123" s="2" t="s">
        <v>71</v>
      </c>
      <c r="F123" s="2" t="s">
        <v>322</v>
      </c>
      <c r="G123" s="7"/>
    </row>
    <row r="124" spans="1:7" ht="13" x14ac:dyDescent="0.15">
      <c r="A124" s="2" t="s">
        <v>362</v>
      </c>
      <c r="B124" s="2" t="s">
        <v>363</v>
      </c>
      <c r="C124" s="2" t="s">
        <v>321</v>
      </c>
      <c r="D124" s="2"/>
      <c r="E124" s="2" t="s">
        <v>71</v>
      </c>
      <c r="F124" s="2" t="s">
        <v>322</v>
      </c>
      <c r="G124" s="7"/>
    </row>
    <row r="125" spans="1:7" ht="13" x14ac:dyDescent="0.15">
      <c r="A125" s="2" t="s">
        <v>364</v>
      </c>
      <c r="B125" s="2" t="s">
        <v>365</v>
      </c>
      <c r="C125" s="2" t="s">
        <v>321</v>
      </c>
      <c r="D125" s="2"/>
      <c r="E125" s="2" t="s">
        <v>71</v>
      </c>
      <c r="F125" s="2" t="s">
        <v>322</v>
      </c>
      <c r="G125" s="7"/>
    </row>
    <row r="126" spans="1:7" ht="13" x14ac:dyDescent="0.15">
      <c r="A126" s="2" t="s">
        <v>366</v>
      </c>
      <c r="B126" s="2" t="s">
        <v>367</v>
      </c>
      <c r="C126" s="2" t="s">
        <v>321</v>
      </c>
      <c r="D126" s="2"/>
      <c r="E126" s="2" t="s">
        <v>71</v>
      </c>
      <c r="F126" s="2" t="s">
        <v>322</v>
      </c>
      <c r="G126" s="7"/>
    </row>
    <row r="127" spans="1:7" ht="13" x14ac:dyDescent="0.15">
      <c r="A127" s="2" t="s">
        <v>368</v>
      </c>
      <c r="B127" s="2" t="s">
        <v>369</v>
      </c>
      <c r="C127" s="2" t="s">
        <v>321</v>
      </c>
      <c r="D127" s="2"/>
      <c r="E127" s="2" t="s">
        <v>71</v>
      </c>
      <c r="F127" s="2" t="s">
        <v>322</v>
      </c>
      <c r="G127" s="7"/>
    </row>
    <row r="128" spans="1:7" ht="13" x14ac:dyDescent="0.15">
      <c r="A128" s="2" t="s">
        <v>370</v>
      </c>
      <c r="B128" s="2" t="s">
        <v>371</v>
      </c>
      <c r="C128" s="2" t="s">
        <v>321</v>
      </c>
      <c r="D128" s="2"/>
      <c r="E128" s="2" t="s">
        <v>71</v>
      </c>
      <c r="F128" s="2" t="s">
        <v>322</v>
      </c>
      <c r="G128" s="7"/>
    </row>
    <row r="129" spans="1:7" ht="13" x14ac:dyDescent="0.15">
      <c r="A129" s="2" t="s">
        <v>372</v>
      </c>
      <c r="B129" s="2" t="s">
        <v>373</v>
      </c>
      <c r="C129" s="2" t="s">
        <v>321</v>
      </c>
      <c r="D129" s="2"/>
      <c r="E129" s="2" t="s">
        <v>71</v>
      </c>
      <c r="F129" s="2" t="s">
        <v>322</v>
      </c>
      <c r="G129" s="7"/>
    </row>
    <row r="130" spans="1:7" ht="13" x14ac:dyDescent="0.15">
      <c r="A130" s="2" t="s">
        <v>374</v>
      </c>
      <c r="B130" s="2" t="s">
        <v>375</v>
      </c>
      <c r="C130" s="2" t="s">
        <v>321</v>
      </c>
      <c r="D130" s="2"/>
      <c r="E130" s="2" t="s">
        <v>71</v>
      </c>
      <c r="F130" s="2" t="s">
        <v>322</v>
      </c>
      <c r="G130" s="7"/>
    </row>
    <row r="131" spans="1:7" ht="13" x14ac:dyDescent="0.15">
      <c r="A131" s="2" t="s">
        <v>376</v>
      </c>
      <c r="B131" s="2" t="s">
        <v>377</v>
      </c>
      <c r="C131" s="2" t="s">
        <v>321</v>
      </c>
      <c r="D131" s="2"/>
      <c r="E131" s="2" t="s">
        <v>71</v>
      </c>
      <c r="F131" s="2" t="s">
        <v>322</v>
      </c>
      <c r="G131" s="7"/>
    </row>
    <row r="132" spans="1:7" ht="15" x14ac:dyDescent="0.2">
      <c r="A132" s="11" t="s">
        <v>378</v>
      </c>
      <c r="B132" s="11" t="s">
        <v>379</v>
      </c>
      <c r="C132" s="11" t="s">
        <v>321</v>
      </c>
      <c r="D132" s="11"/>
      <c r="E132" s="11" t="s">
        <v>71</v>
      </c>
      <c r="F132" s="2" t="s">
        <v>165</v>
      </c>
      <c r="G132" s="7"/>
    </row>
    <row r="133" spans="1:7" ht="15" x14ac:dyDescent="0.2">
      <c r="A133" s="11" t="s">
        <v>380</v>
      </c>
      <c r="B133" s="11" t="s">
        <v>381</v>
      </c>
      <c r="C133" s="11" t="s">
        <v>321</v>
      </c>
      <c r="D133" s="11"/>
      <c r="E133" s="11" t="s">
        <v>71</v>
      </c>
      <c r="F133" s="2" t="s">
        <v>165</v>
      </c>
      <c r="G133" s="7"/>
    </row>
    <row r="134" spans="1:7" ht="15" x14ac:dyDescent="0.2">
      <c r="A134" s="11" t="s">
        <v>382</v>
      </c>
      <c r="B134" s="11" t="s">
        <v>383</v>
      </c>
      <c r="C134" s="11" t="s">
        <v>321</v>
      </c>
      <c r="D134" s="11"/>
      <c r="E134" s="11" t="s">
        <v>71</v>
      </c>
      <c r="F134" s="2" t="s">
        <v>165</v>
      </c>
      <c r="G134" s="7"/>
    </row>
    <row r="135" spans="1:7" ht="15" x14ac:dyDescent="0.2">
      <c r="A135" s="11" t="s">
        <v>384</v>
      </c>
      <c r="B135" s="11" t="s">
        <v>385</v>
      </c>
      <c r="C135" s="11" t="s">
        <v>321</v>
      </c>
      <c r="D135" s="11"/>
      <c r="E135" s="11" t="s">
        <v>71</v>
      </c>
      <c r="F135" s="2" t="s">
        <v>165</v>
      </c>
      <c r="G135" s="7"/>
    </row>
    <row r="136" spans="1:7" ht="15" x14ac:dyDescent="0.2">
      <c r="A136" s="11" t="s">
        <v>386</v>
      </c>
      <c r="B136" s="11" t="s">
        <v>387</v>
      </c>
      <c r="C136" s="11" t="s">
        <v>321</v>
      </c>
      <c r="D136" s="11"/>
      <c r="E136" s="11" t="s">
        <v>71</v>
      </c>
      <c r="F136" s="2" t="s">
        <v>165</v>
      </c>
      <c r="G136" s="7"/>
    </row>
    <row r="137" spans="1:7" ht="15" x14ac:dyDescent="0.2">
      <c r="A137" s="11" t="s">
        <v>388</v>
      </c>
      <c r="B137" s="11" t="s">
        <v>389</v>
      </c>
      <c r="C137" s="11" t="s">
        <v>321</v>
      </c>
      <c r="D137" s="11"/>
      <c r="E137" s="11" t="s">
        <v>71</v>
      </c>
      <c r="F137" s="2" t="s">
        <v>165</v>
      </c>
      <c r="G137" s="7"/>
    </row>
    <row r="138" spans="1:7" ht="15" x14ac:dyDescent="0.2">
      <c r="A138" s="11" t="s">
        <v>390</v>
      </c>
      <c r="B138" s="11" t="s">
        <v>391</v>
      </c>
      <c r="C138" s="11" t="s">
        <v>321</v>
      </c>
      <c r="D138" s="11"/>
      <c r="E138" s="11" t="s">
        <v>71</v>
      </c>
      <c r="F138" s="2" t="s">
        <v>165</v>
      </c>
      <c r="G138" s="7"/>
    </row>
    <row r="139" spans="1:7" ht="15" x14ac:dyDescent="0.2">
      <c r="A139" s="11" t="s">
        <v>392</v>
      </c>
      <c r="B139" s="11" t="s">
        <v>393</v>
      </c>
      <c r="C139" s="11" t="s">
        <v>321</v>
      </c>
      <c r="D139" s="11"/>
      <c r="E139" s="11" t="s">
        <v>71</v>
      </c>
      <c r="F139" s="2" t="s">
        <v>165</v>
      </c>
      <c r="G139" s="7"/>
    </row>
    <row r="140" spans="1:7" ht="15" x14ac:dyDescent="0.2">
      <c r="A140" s="11" t="s">
        <v>394</v>
      </c>
      <c r="B140" s="11" t="s">
        <v>395</v>
      </c>
      <c r="C140" s="11" t="s">
        <v>321</v>
      </c>
      <c r="D140" s="11"/>
      <c r="E140" s="11" t="s">
        <v>71</v>
      </c>
      <c r="F140" s="2" t="s">
        <v>165</v>
      </c>
      <c r="G140" s="7"/>
    </row>
    <row r="141" spans="1:7" ht="15" x14ac:dyDescent="0.2">
      <c r="A141" s="11" t="s">
        <v>396</v>
      </c>
      <c r="B141" s="11" t="s">
        <v>397</v>
      </c>
      <c r="C141" s="11" t="s">
        <v>321</v>
      </c>
      <c r="D141" s="11"/>
      <c r="E141" s="11" t="s">
        <v>71</v>
      </c>
      <c r="F141" s="2" t="s">
        <v>165</v>
      </c>
      <c r="G141" s="7"/>
    </row>
    <row r="142" spans="1:7" ht="15" x14ac:dyDescent="0.2">
      <c r="A142" s="2" t="s">
        <v>398</v>
      </c>
      <c r="B142" s="2" t="s">
        <v>399</v>
      </c>
      <c r="C142" s="2" t="s">
        <v>400</v>
      </c>
      <c r="D142" s="2"/>
      <c r="E142" s="11" t="s">
        <v>71</v>
      </c>
      <c r="F142" s="2" t="s">
        <v>165</v>
      </c>
      <c r="G142" s="7"/>
    </row>
    <row r="143" spans="1:7" ht="15" x14ac:dyDescent="0.2">
      <c r="A143" s="11" t="s">
        <v>401</v>
      </c>
      <c r="B143" s="11" t="s">
        <v>190</v>
      </c>
      <c r="C143" s="2" t="s">
        <v>400</v>
      </c>
      <c r="D143" s="2"/>
      <c r="E143" s="11" t="s">
        <v>71</v>
      </c>
      <c r="F143" s="2" t="s">
        <v>165</v>
      </c>
      <c r="G143" s="7"/>
    </row>
    <row r="144" spans="1:7" ht="15" x14ac:dyDescent="0.2">
      <c r="A144" s="11" t="s">
        <v>402</v>
      </c>
      <c r="B144" s="11" t="s">
        <v>403</v>
      </c>
      <c r="C144" s="2" t="s">
        <v>400</v>
      </c>
      <c r="D144" s="2"/>
      <c r="E144" s="11" t="s">
        <v>71</v>
      </c>
      <c r="F144" s="2" t="s">
        <v>165</v>
      </c>
      <c r="G144" s="7"/>
    </row>
    <row r="145" spans="1:7" ht="15" x14ac:dyDescent="0.2">
      <c r="A145" s="11" t="s">
        <v>404</v>
      </c>
      <c r="B145" s="11" t="s">
        <v>405</v>
      </c>
      <c r="C145" s="2" t="s">
        <v>400</v>
      </c>
      <c r="D145" s="2"/>
      <c r="E145" s="11" t="s">
        <v>71</v>
      </c>
      <c r="F145" s="2" t="s">
        <v>165</v>
      </c>
      <c r="G145" s="7"/>
    </row>
    <row r="146" spans="1:7" ht="15" x14ac:dyDescent="0.2">
      <c r="A146" s="11" t="s">
        <v>406</v>
      </c>
      <c r="B146" s="11" t="s">
        <v>118</v>
      </c>
      <c r="C146" s="2" t="s">
        <v>400</v>
      </c>
      <c r="D146" s="2"/>
      <c r="E146" s="11" t="s">
        <v>71</v>
      </c>
      <c r="F146" s="2" t="s">
        <v>165</v>
      </c>
      <c r="G146" s="7"/>
    </row>
    <row r="147" spans="1:7" ht="15" x14ac:dyDescent="0.2">
      <c r="A147" s="11" t="s">
        <v>407</v>
      </c>
      <c r="B147" s="11" t="s">
        <v>408</v>
      </c>
      <c r="C147" s="2" t="s">
        <v>400</v>
      </c>
      <c r="D147" s="2"/>
      <c r="E147" s="11" t="s">
        <v>71</v>
      </c>
      <c r="F147" s="2" t="s">
        <v>165</v>
      </c>
      <c r="G147" s="7"/>
    </row>
    <row r="148" spans="1:7" ht="15" x14ac:dyDescent="0.2">
      <c r="A148" s="11" t="s">
        <v>409</v>
      </c>
      <c r="B148" s="11" t="s">
        <v>410</v>
      </c>
      <c r="C148" s="2" t="s">
        <v>400</v>
      </c>
      <c r="D148" s="2"/>
      <c r="E148" s="11" t="s">
        <v>71</v>
      </c>
      <c r="F148" s="2" t="s">
        <v>165</v>
      </c>
      <c r="G148" s="7"/>
    </row>
    <row r="149" spans="1:7" ht="15" x14ac:dyDescent="0.2">
      <c r="A149" s="11" t="s">
        <v>411</v>
      </c>
      <c r="B149" s="11" t="s">
        <v>412</v>
      </c>
      <c r="C149" s="2" t="s">
        <v>400</v>
      </c>
      <c r="D149" s="2"/>
      <c r="E149" s="11" t="s">
        <v>71</v>
      </c>
      <c r="F149" s="2" t="s">
        <v>165</v>
      </c>
      <c r="G149" s="7"/>
    </row>
    <row r="150" spans="1:7" ht="15" x14ac:dyDescent="0.2">
      <c r="A150" s="11" t="s">
        <v>413</v>
      </c>
      <c r="B150" s="11" t="s">
        <v>414</v>
      </c>
      <c r="C150" s="2" t="s">
        <v>400</v>
      </c>
      <c r="D150" s="2"/>
      <c r="E150" s="11" t="s">
        <v>71</v>
      </c>
      <c r="F150" s="2" t="s">
        <v>165</v>
      </c>
      <c r="G150" s="7"/>
    </row>
    <row r="151" spans="1:7" ht="15" x14ac:dyDescent="0.2">
      <c r="A151" s="11" t="s">
        <v>415</v>
      </c>
      <c r="B151" s="11" t="s">
        <v>416</v>
      </c>
      <c r="C151" s="2" t="s">
        <v>400</v>
      </c>
      <c r="D151" s="2"/>
      <c r="E151" s="11" t="s">
        <v>71</v>
      </c>
      <c r="F151" s="2" t="s">
        <v>165</v>
      </c>
      <c r="G151" s="7"/>
    </row>
    <row r="152" spans="1:7" ht="15" x14ac:dyDescent="0.2">
      <c r="A152" s="11" t="s">
        <v>417</v>
      </c>
      <c r="B152" s="11" t="s">
        <v>105</v>
      </c>
      <c r="C152" s="11" t="s">
        <v>418</v>
      </c>
      <c r="D152" s="11"/>
      <c r="E152" s="11" t="s">
        <v>419</v>
      </c>
      <c r="F152" s="2" t="s">
        <v>165</v>
      </c>
      <c r="G152" s="7"/>
    </row>
    <row r="153" spans="1:7" ht="15" x14ac:dyDescent="0.2">
      <c r="A153" s="11" t="s">
        <v>420</v>
      </c>
      <c r="B153" s="11" t="s">
        <v>313</v>
      </c>
      <c r="C153" s="11" t="s">
        <v>421</v>
      </c>
      <c r="D153" s="11"/>
      <c r="E153" s="11" t="s">
        <v>419</v>
      </c>
      <c r="F153" s="2" t="s">
        <v>165</v>
      </c>
      <c r="G153" s="7"/>
    </row>
    <row r="154" spans="1:7" ht="15" x14ac:dyDescent="0.2">
      <c r="A154" s="11" t="s">
        <v>422</v>
      </c>
      <c r="B154" s="11" t="s">
        <v>423</v>
      </c>
      <c r="C154" s="11" t="s">
        <v>424</v>
      </c>
      <c r="D154" s="11"/>
      <c r="E154" s="11" t="s">
        <v>419</v>
      </c>
      <c r="F154" s="2" t="s">
        <v>224</v>
      </c>
      <c r="G154" s="7"/>
    </row>
    <row r="155" spans="1:7" ht="15" x14ac:dyDescent="0.2">
      <c r="A155" s="11" t="s">
        <v>425</v>
      </c>
      <c r="B155" s="11" t="s">
        <v>426</v>
      </c>
      <c r="C155" s="11" t="s">
        <v>427</v>
      </c>
      <c r="D155" s="11"/>
      <c r="E155" s="11" t="s">
        <v>419</v>
      </c>
      <c r="F155" s="2" t="s">
        <v>165</v>
      </c>
      <c r="G155" s="7"/>
    </row>
    <row r="156" spans="1:7" ht="15" x14ac:dyDescent="0.2">
      <c r="A156" s="11" t="s">
        <v>428</v>
      </c>
      <c r="B156" s="11" t="s">
        <v>423</v>
      </c>
      <c r="C156" s="11" t="s">
        <v>427</v>
      </c>
      <c r="D156" s="11"/>
      <c r="E156" s="11" t="s">
        <v>419</v>
      </c>
      <c r="F156" s="2" t="s">
        <v>224</v>
      </c>
      <c r="G156" s="7"/>
    </row>
    <row r="157" spans="1:7" ht="15" x14ac:dyDescent="0.2">
      <c r="A157" s="11" t="s">
        <v>429</v>
      </c>
      <c r="B157" s="11" t="s">
        <v>430</v>
      </c>
      <c r="C157" s="11" t="s">
        <v>431</v>
      </c>
      <c r="D157" s="11"/>
      <c r="E157" s="11" t="s">
        <v>419</v>
      </c>
      <c r="F157" s="2" t="s">
        <v>165</v>
      </c>
      <c r="G157" s="7"/>
    </row>
    <row r="158" spans="1:7" ht="15" x14ac:dyDescent="0.2">
      <c r="A158" s="11" t="s">
        <v>432</v>
      </c>
      <c r="B158" s="11" t="s">
        <v>311</v>
      </c>
      <c r="C158" s="11" t="s">
        <v>431</v>
      </c>
      <c r="D158" s="11"/>
      <c r="E158" s="11" t="s">
        <v>419</v>
      </c>
      <c r="F158" s="2" t="s">
        <v>165</v>
      </c>
      <c r="G158" s="7"/>
    </row>
    <row r="159" spans="1:7" ht="15" x14ac:dyDescent="0.2">
      <c r="A159" s="11" t="s">
        <v>433</v>
      </c>
      <c r="B159" s="11" t="s">
        <v>434</v>
      </c>
      <c r="C159" s="11" t="s">
        <v>435</v>
      </c>
      <c r="D159" s="11"/>
      <c r="E159" s="11" t="s">
        <v>419</v>
      </c>
      <c r="F159" s="2" t="s">
        <v>165</v>
      </c>
      <c r="G159" s="7"/>
    </row>
    <row r="160" spans="1:7" ht="15" x14ac:dyDescent="0.2">
      <c r="A160" s="11" t="s">
        <v>436</v>
      </c>
      <c r="B160" s="11" t="s">
        <v>195</v>
      </c>
      <c r="C160" s="11" t="s">
        <v>435</v>
      </c>
      <c r="D160" s="11"/>
      <c r="E160" s="11" t="s">
        <v>419</v>
      </c>
      <c r="F160" s="2" t="s">
        <v>224</v>
      </c>
      <c r="G160" s="7"/>
    </row>
    <row r="161" spans="1:7" ht="15" x14ac:dyDescent="0.2">
      <c r="A161" s="11" t="s">
        <v>437</v>
      </c>
      <c r="B161" s="11" t="s">
        <v>319</v>
      </c>
      <c r="C161" s="11" t="s">
        <v>438</v>
      </c>
      <c r="D161" s="11" t="s">
        <v>439</v>
      </c>
      <c r="E161" s="11" t="s">
        <v>419</v>
      </c>
      <c r="F161" s="2" t="s">
        <v>165</v>
      </c>
      <c r="G161" s="7"/>
    </row>
    <row r="162" spans="1:7" ht="15" x14ac:dyDescent="0.2">
      <c r="A162" s="11" t="s">
        <v>440</v>
      </c>
      <c r="B162" s="11" t="s">
        <v>441</v>
      </c>
      <c r="C162" s="11" t="s">
        <v>439</v>
      </c>
      <c r="D162" s="11"/>
      <c r="E162" s="11" t="s">
        <v>419</v>
      </c>
      <c r="F162" s="2" t="s">
        <v>165</v>
      </c>
      <c r="G162" s="7"/>
    </row>
    <row r="163" spans="1:7" ht="15" x14ac:dyDescent="0.2">
      <c r="A163" s="11" t="s">
        <v>442</v>
      </c>
      <c r="B163" s="11" t="s">
        <v>443</v>
      </c>
      <c r="C163" s="11" t="s">
        <v>439</v>
      </c>
      <c r="D163" s="11"/>
      <c r="E163" s="11" t="s">
        <v>419</v>
      </c>
      <c r="F163" s="2" t="s">
        <v>165</v>
      </c>
      <c r="G163" s="7"/>
    </row>
    <row r="164" spans="1:7" ht="15" x14ac:dyDescent="0.2">
      <c r="A164" s="11" t="s">
        <v>444</v>
      </c>
      <c r="B164" s="11" t="s">
        <v>445</v>
      </c>
      <c r="C164" s="11" t="s">
        <v>446</v>
      </c>
      <c r="D164" s="11"/>
      <c r="E164" s="11" t="s">
        <v>419</v>
      </c>
      <c r="F164" s="2" t="s">
        <v>447</v>
      </c>
      <c r="G164" s="7"/>
    </row>
    <row r="165" spans="1:7" ht="15" x14ac:dyDescent="0.2">
      <c r="A165" s="11" t="s">
        <v>448</v>
      </c>
      <c r="B165" s="11" t="s">
        <v>449</v>
      </c>
      <c r="C165" s="11" t="s">
        <v>450</v>
      </c>
      <c r="D165" s="11" t="s">
        <v>446</v>
      </c>
      <c r="E165" s="11" t="s">
        <v>419</v>
      </c>
      <c r="F165" s="2" t="s">
        <v>224</v>
      </c>
      <c r="G165" s="7"/>
    </row>
    <row r="166" spans="1:7" ht="15" x14ac:dyDescent="0.2">
      <c r="A166" s="11" t="s">
        <v>451</v>
      </c>
      <c r="B166" s="11" t="s">
        <v>452</v>
      </c>
      <c r="C166" s="11" t="s">
        <v>453</v>
      </c>
      <c r="D166" s="11"/>
      <c r="E166" s="11" t="s">
        <v>419</v>
      </c>
      <c r="F166" s="2" t="s">
        <v>224</v>
      </c>
      <c r="G166" s="7"/>
    </row>
    <row r="167" spans="1:7" ht="15" x14ac:dyDescent="0.2">
      <c r="A167" s="11" t="s">
        <v>454</v>
      </c>
      <c r="B167" s="11" t="s">
        <v>395</v>
      </c>
      <c r="C167" s="11" t="s">
        <v>453</v>
      </c>
      <c r="D167" s="11"/>
      <c r="E167" s="11" t="s">
        <v>419</v>
      </c>
      <c r="F167" s="2" t="s">
        <v>224</v>
      </c>
      <c r="G167" s="7"/>
    </row>
    <row r="168" spans="1:7" ht="15" x14ac:dyDescent="0.2">
      <c r="A168" s="11" t="s">
        <v>455</v>
      </c>
      <c r="B168" s="11" t="s">
        <v>210</v>
      </c>
      <c r="C168" s="11" t="s">
        <v>456</v>
      </c>
      <c r="D168" s="11"/>
      <c r="E168" s="11" t="s">
        <v>419</v>
      </c>
      <c r="F168" s="2" t="s">
        <v>165</v>
      </c>
      <c r="G168" s="7"/>
    </row>
    <row r="169" spans="1:7" ht="15" x14ac:dyDescent="0.2">
      <c r="A169" s="11" t="s">
        <v>457</v>
      </c>
      <c r="B169" s="11" t="s">
        <v>168</v>
      </c>
      <c r="C169" s="11" t="s">
        <v>456</v>
      </c>
      <c r="D169" s="11"/>
      <c r="E169" s="11" t="s">
        <v>419</v>
      </c>
      <c r="F169" s="2" t="s">
        <v>165</v>
      </c>
      <c r="G169" s="7"/>
    </row>
    <row r="170" spans="1:7" ht="15" x14ac:dyDescent="0.2">
      <c r="A170" s="11" t="s">
        <v>458</v>
      </c>
      <c r="B170" s="11" t="s">
        <v>459</v>
      </c>
      <c r="C170" s="11" t="s">
        <v>460</v>
      </c>
      <c r="D170" s="11"/>
      <c r="E170" s="11" t="s">
        <v>419</v>
      </c>
      <c r="F170" s="2" t="s">
        <v>165</v>
      </c>
      <c r="G170" s="7"/>
    </row>
    <row r="171" spans="1:7" ht="15" x14ac:dyDescent="0.2">
      <c r="A171" s="11" t="s">
        <v>461</v>
      </c>
      <c r="B171" s="11" t="s">
        <v>426</v>
      </c>
      <c r="C171" s="11" t="s">
        <v>460</v>
      </c>
      <c r="D171" s="11"/>
      <c r="E171" s="11" t="s">
        <v>419</v>
      </c>
      <c r="F171" s="2" t="s">
        <v>165</v>
      </c>
      <c r="G171" s="7"/>
    </row>
    <row r="172" spans="1:7" ht="13" x14ac:dyDescent="0.15">
      <c r="A172" s="2" t="s">
        <v>462</v>
      </c>
      <c r="B172" s="2" t="s">
        <v>285</v>
      </c>
      <c r="C172" s="2" t="s">
        <v>463</v>
      </c>
      <c r="D172" s="2"/>
      <c r="E172" s="2" t="s">
        <v>464</v>
      </c>
      <c r="F172" s="2" t="s">
        <v>165</v>
      </c>
      <c r="G172" s="7"/>
    </row>
    <row r="173" spans="1:7" ht="13" x14ac:dyDescent="0.15">
      <c r="A173" s="2" t="s">
        <v>465</v>
      </c>
      <c r="B173" s="2" t="s">
        <v>466</v>
      </c>
      <c r="C173" s="2" t="s">
        <v>463</v>
      </c>
      <c r="D173" s="2"/>
      <c r="E173" s="2" t="s">
        <v>464</v>
      </c>
      <c r="F173" s="2" t="s">
        <v>165</v>
      </c>
      <c r="G173" s="7"/>
    </row>
    <row r="174" spans="1:7" ht="13" x14ac:dyDescent="0.15">
      <c r="A174" s="2" t="s">
        <v>467</v>
      </c>
      <c r="B174" s="2" t="s">
        <v>468</v>
      </c>
      <c r="C174" s="2" t="s">
        <v>463</v>
      </c>
      <c r="D174" s="2"/>
      <c r="E174" s="2" t="s">
        <v>464</v>
      </c>
      <c r="F174" s="2" t="s">
        <v>224</v>
      </c>
      <c r="G174" s="7"/>
    </row>
    <row r="175" spans="1:7" ht="13" x14ac:dyDescent="0.15">
      <c r="A175" s="2" t="s">
        <v>469</v>
      </c>
      <c r="B175" s="2" t="s">
        <v>470</v>
      </c>
      <c r="C175" s="2" t="s">
        <v>463</v>
      </c>
      <c r="D175" s="2"/>
      <c r="E175" s="2" t="s">
        <v>464</v>
      </c>
      <c r="F175" s="2" t="s">
        <v>322</v>
      </c>
      <c r="G175" s="7"/>
    </row>
    <row r="176" spans="1:7" ht="13" x14ac:dyDescent="0.15">
      <c r="A176" s="2" t="s">
        <v>471</v>
      </c>
      <c r="B176" s="2" t="s">
        <v>472</v>
      </c>
      <c r="C176" s="2" t="s">
        <v>463</v>
      </c>
      <c r="D176" s="2"/>
      <c r="E176" s="2" t="s">
        <v>464</v>
      </c>
      <c r="F176" s="2" t="s">
        <v>322</v>
      </c>
      <c r="G176" s="7"/>
    </row>
    <row r="177" spans="1:7" ht="13" x14ac:dyDescent="0.15">
      <c r="A177" s="2" t="s">
        <v>473</v>
      </c>
      <c r="B177" s="2" t="s">
        <v>474</v>
      </c>
      <c r="C177" s="2" t="s">
        <v>475</v>
      </c>
      <c r="D177" s="2" t="s">
        <v>463</v>
      </c>
      <c r="E177" s="2" t="s">
        <v>464</v>
      </c>
      <c r="F177" s="2" t="s">
        <v>165</v>
      </c>
      <c r="G177" s="7"/>
    </row>
    <row r="178" spans="1:7" ht="13" x14ac:dyDescent="0.15">
      <c r="A178" s="2" t="s">
        <v>476</v>
      </c>
      <c r="B178" s="2" t="s">
        <v>477</v>
      </c>
      <c r="C178" s="2" t="s">
        <v>475</v>
      </c>
      <c r="D178" s="2" t="s">
        <v>463</v>
      </c>
      <c r="E178" s="2" t="s">
        <v>464</v>
      </c>
      <c r="F178" s="2" t="s">
        <v>165</v>
      </c>
      <c r="G178" s="7"/>
    </row>
    <row r="179" spans="1:7" ht="13" x14ac:dyDescent="0.15">
      <c r="A179" s="2" t="s">
        <v>478</v>
      </c>
      <c r="B179" s="2" t="s">
        <v>479</v>
      </c>
      <c r="C179" s="2" t="s">
        <v>475</v>
      </c>
      <c r="D179" s="2" t="s">
        <v>463</v>
      </c>
      <c r="E179" s="2" t="s">
        <v>464</v>
      </c>
      <c r="F179" s="2" t="s">
        <v>322</v>
      </c>
      <c r="G179" s="7"/>
    </row>
    <row r="180" spans="1:7" ht="13" x14ac:dyDescent="0.15">
      <c r="A180" s="2" t="s">
        <v>480</v>
      </c>
      <c r="B180" s="2" t="s">
        <v>176</v>
      </c>
      <c r="C180" s="2" t="s">
        <v>475</v>
      </c>
      <c r="D180" s="2" t="s">
        <v>463</v>
      </c>
      <c r="E180" s="2" t="s">
        <v>464</v>
      </c>
      <c r="F180" s="2" t="s">
        <v>224</v>
      </c>
      <c r="G180" s="7"/>
    </row>
    <row r="181" spans="1:7" ht="13" x14ac:dyDescent="0.15">
      <c r="A181" s="2" t="s">
        <v>481</v>
      </c>
      <c r="B181" s="2" t="s">
        <v>482</v>
      </c>
      <c r="C181" s="2" t="s">
        <v>475</v>
      </c>
      <c r="D181" s="2" t="s">
        <v>463</v>
      </c>
      <c r="E181" s="2" t="s">
        <v>464</v>
      </c>
      <c r="F181" s="2" t="s">
        <v>483</v>
      </c>
      <c r="G181" s="7"/>
    </row>
    <row r="182" spans="1:7" ht="15" x14ac:dyDescent="0.2">
      <c r="A182" s="11" t="s">
        <v>484</v>
      </c>
      <c r="B182" s="11" t="s">
        <v>485</v>
      </c>
      <c r="C182" s="11" t="s">
        <v>486</v>
      </c>
      <c r="D182" s="11"/>
      <c r="E182" s="11" t="s">
        <v>487</v>
      </c>
      <c r="F182" s="2" t="s">
        <v>165</v>
      </c>
      <c r="G182" s="7"/>
    </row>
    <row r="183" spans="1:7" ht="15" x14ac:dyDescent="0.2">
      <c r="A183" s="11" t="s">
        <v>488</v>
      </c>
      <c r="B183" s="11" t="s">
        <v>489</v>
      </c>
      <c r="C183" s="11" t="s">
        <v>486</v>
      </c>
      <c r="D183" s="11"/>
      <c r="E183" s="11" t="s">
        <v>487</v>
      </c>
      <c r="F183" s="2" t="s">
        <v>165</v>
      </c>
      <c r="G183" s="7"/>
    </row>
    <row r="184" spans="1:7" ht="15" x14ac:dyDescent="0.2">
      <c r="A184" s="11" t="s">
        <v>490</v>
      </c>
      <c r="B184" s="11" t="s">
        <v>491</v>
      </c>
      <c r="C184" s="11" t="s">
        <v>486</v>
      </c>
      <c r="D184" s="11"/>
      <c r="E184" s="11" t="s">
        <v>487</v>
      </c>
      <c r="F184" s="2" t="s">
        <v>165</v>
      </c>
      <c r="G184" s="7"/>
    </row>
    <row r="185" spans="1:7" ht="15" x14ac:dyDescent="0.2">
      <c r="A185" s="11" t="s">
        <v>492</v>
      </c>
      <c r="B185" s="11" t="s">
        <v>493</v>
      </c>
      <c r="C185" s="11" t="s">
        <v>486</v>
      </c>
      <c r="D185" s="11"/>
      <c r="E185" s="11" t="s">
        <v>487</v>
      </c>
      <c r="F185" s="2" t="s">
        <v>165</v>
      </c>
      <c r="G185" s="7"/>
    </row>
    <row r="186" spans="1:7" ht="15" x14ac:dyDescent="0.2">
      <c r="A186" s="11" t="s">
        <v>494</v>
      </c>
      <c r="B186" s="11" t="s">
        <v>495</v>
      </c>
      <c r="C186" s="11" t="s">
        <v>486</v>
      </c>
      <c r="D186" s="11"/>
      <c r="E186" s="11" t="s">
        <v>487</v>
      </c>
      <c r="F186" s="2" t="s">
        <v>165</v>
      </c>
      <c r="G186" s="7"/>
    </row>
    <row r="187" spans="1:7" ht="15" x14ac:dyDescent="0.2">
      <c r="A187" s="11" t="s">
        <v>496</v>
      </c>
      <c r="B187" s="11" t="s">
        <v>485</v>
      </c>
      <c r="C187" s="11" t="s">
        <v>497</v>
      </c>
      <c r="D187" s="11"/>
      <c r="E187" s="11" t="s">
        <v>487</v>
      </c>
      <c r="F187" s="2" t="s">
        <v>165</v>
      </c>
      <c r="G187" s="7"/>
    </row>
    <row r="188" spans="1:7" ht="15" x14ac:dyDescent="0.2">
      <c r="A188" s="11" t="s">
        <v>498</v>
      </c>
      <c r="B188" s="11" t="s">
        <v>489</v>
      </c>
      <c r="C188" s="11" t="s">
        <v>497</v>
      </c>
      <c r="D188" s="11"/>
      <c r="E188" s="11" t="s">
        <v>487</v>
      </c>
      <c r="F188" s="2" t="s">
        <v>165</v>
      </c>
      <c r="G188" s="7"/>
    </row>
    <row r="189" spans="1:7" ht="15" x14ac:dyDescent="0.2">
      <c r="A189" s="11" t="s">
        <v>499</v>
      </c>
      <c r="B189" s="11" t="s">
        <v>491</v>
      </c>
      <c r="C189" s="11" t="s">
        <v>497</v>
      </c>
      <c r="D189" s="11"/>
      <c r="E189" s="11" t="s">
        <v>487</v>
      </c>
      <c r="F189" s="2" t="s">
        <v>165</v>
      </c>
      <c r="G189" s="7"/>
    </row>
    <row r="190" spans="1:7" ht="15" x14ac:dyDescent="0.2">
      <c r="A190" s="11" t="s">
        <v>500</v>
      </c>
      <c r="B190" s="11" t="s">
        <v>493</v>
      </c>
      <c r="C190" s="11" t="s">
        <v>497</v>
      </c>
      <c r="D190" s="11"/>
      <c r="E190" s="11" t="s">
        <v>487</v>
      </c>
      <c r="F190" s="2" t="s">
        <v>165</v>
      </c>
      <c r="G190" s="7"/>
    </row>
    <row r="191" spans="1:7" ht="15" x14ac:dyDescent="0.2">
      <c r="A191" s="11" t="s">
        <v>501</v>
      </c>
      <c r="B191" s="11" t="s">
        <v>495</v>
      </c>
      <c r="C191" s="11" t="s">
        <v>497</v>
      </c>
      <c r="D191" s="11"/>
      <c r="E191" s="11" t="s">
        <v>487</v>
      </c>
      <c r="F191" s="2" t="s">
        <v>165</v>
      </c>
      <c r="G191" s="7"/>
    </row>
    <row r="192" spans="1:7" ht="13" x14ac:dyDescent="0.15">
      <c r="A192" s="8"/>
      <c r="B192" s="7"/>
      <c r="C192" s="7"/>
      <c r="D192" s="7"/>
      <c r="E192" s="7"/>
      <c r="F192" s="7"/>
      <c r="G192" s="7"/>
    </row>
    <row r="193" spans="1:7" ht="13" x14ac:dyDescent="0.15">
      <c r="A193" s="8"/>
      <c r="B193" s="7"/>
      <c r="C193" s="7"/>
      <c r="D193" s="7"/>
      <c r="E193" s="7"/>
      <c r="F193" s="7"/>
      <c r="G193" s="7"/>
    </row>
    <row r="194" spans="1:7" ht="13" x14ac:dyDescent="0.15">
      <c r="A194" s="8"/>
      <c r="B194" s="7"/>
      <c r="C194" s="7"/>
      <c r="D194" s="7"/>
      <c r="E194" s="7"/>
      <c r="F194" s="7"/>
      <c r="G194" s="7"/>
    </row>
    <row r="195" spans="1:7" ht="13" x14ac:dyDescent="0.15">
      <c r="A195" s="8"/>
      <c r="B195" s="7"/>
      <c r="C195" s="7"/>
      <c r="D195" s="7"/>
      <c r="E195" s="7"/>
      <c r="F195" s="7"/>
      <c r="G195" s="7"/>
    </row>
    <row r="196" spans="1:7" ht="13" x14ac:dyDescent="0.15">
      <c r="A196" s="8"/>
      <c r="B196" s="7"/>
      <c r="C196" s="7"/>
      <c r="D196" s="7"/>
      <c r="E196" s="7"/>
      <c r="F196" s="7"/>
      <c r="G196" s="7"/>
    </row>
    <row r="197" spans="1:7" ht="13" x14ac:dyDescent="0.15">
      <c r="A197" s="8"/>
      <c r="B197" s="7"/>
      <c r="C197" s="7"/>
      <c r="D197" s="7"/>
      <c r="E197" s="7"/>
      <c r="F197" s="7"/>
      <c r="G197" s="7"/>
    </row>
    <row r="198" spans="1:7" ht="13" x14ac:dyDescent="0.15">
      <c r="A198" s="8"/>
      <c r="B198" s="7"/>
      <c r="C198" s="7"/>
      <c r="D198" s="7"/>
      <c r="E198" s="7"/>
      <c r="F198" s="7"/>
      <c r="G198" s="7"/>
    </row>
    <row r="199" spans="1:7" ht="13" x14ac:dyDescent="0.15">
      <c r="A199" s="8"/>
      <c r="B199" s="7"/>
      <c r="C199" s="7"/>
      <c r="D199" s="7"/>
      <c r="E199" s="7"/>
      <c r="F199" s="7"/>
      <c r="G199" s="7"/>
    </row>
    <row r="200" spans="1:7" ht="13" x14ac:dyDescent="0.15">
      <c r="A200" s="8"/>
      <c r="B200" s="7"/>
      <c r="C200" s="7"/>
      <c r="D200" s="7"/>
      <c r="E200" s="7"/>
      <c r="F200" s="7"/>
      <c r="G200" s="7"/>
    </row>
    <row r="201" spans="1:7" ht="13" x14ac:dyDescent="0.15">
      <c r="A201" s="8"/>
      <c r="B201" s="7"/>
      <c r="C201" s="7"/>
      <c r="D201" s="7"/>
      <c r="E201" s="7"/>
      <c r="F201" s="7"/>
      <c r="G201" s="7"/>
    </row>
    <row r="202" spans="1:7" ht="13" x14ac:dyDescent="0.15">
      <c r="A202" s="8"/>
      <c r="B202" s="7"/>
      <c r="C202" s="7"/>
      <c r="D202" s="7"/>
      <c r="E202" s="7"/>
      <c r="F202" s="7"/>
      <c r="G202" s="7"/>
    </row>
    <row r="203" spans="1:7" ht="13" x14ac:dyDescent="0.15">
      <c r="A203" s="8"/>
      <c r="B203" s="7"/>
      <c r="C203" s="7"/>
      <c r="D203" s="7"/>
      <c r="E203" s="7"/>
      <c r="F203" s="7"/>
      <c r="G203" s="7"/>
    </row>
    <row r="204" spans="1:7" ht="13" x14ac:dyDescent="0.15">
      <c r="A204" s="8"/>
      <c r="B204" s="7"/>
      <c r="C204" s="7"/>
      <c r="D204" s="7"/>
      <c r="E204" s="7"/>
      <c r="F204" s="7"/>
      <c r="G204" s="7"/>
    </row>
    <row r="205" spans="1:7" ht="13" x14ac:dyDescent="0.15">
      <c r="A205" s="8"/>
      <c r="B205" s="7"/>
      <c r="C205" s="7"/>
      <c r="D205" s="7"/>
      <c r="E205" s="7"/>
      <c r="F205" s="7"/>
      <c r="G205" s="7"/>
    </row>
    <row r="206" spans="1:7" ht="13" x14ac:dyDescent="0.15">
      <c r="A206" s="8"/>
      <c r="B206" s="7"/>
      <c r="C206" s="7"/>
      <c r="D206" s="7"/>
      <c r="E206" s="7"/>
      <c r="F206" s="7"/>
      <c r="G206" s="7"/>
    </row>
    <row r="207" spans="1:7" ht="13" x14ac:dyDescent="0.15">
      <c r="A207" s="8"/>
      <c r="B207" s="7"/>
      <c r="C207" s="7"/>
      <c r="D207" s="7"/>
      <c r="E207" s="7"/>
      <c r="F207" s="7"/>
      <c r="G207" s="7"/>
    </row>
    <row r="208" spans="1:7" ht="13" x14ac:dyDescent="0.15">
      <c r="A208" s="8"/>
      <c r="B208" s="7"/>
      <c r="C208" s="7"/>
      <c r="D208" s="7"/>
      <c r="E208" s="7"/>
      <c r="F208" s="7"/>
      <c r="G208" s="7"/>
    </row>
    <row r="209" spans="1:7" ht="13" x14ac:dyDescent="0.15">
      <c r="A209" s="8"/>
      <c r="B209" s="7"/>
      <c r="C209" s="7"/>
      <c r="D209" s="7"/>
      <c r="E209" s="7"/>
      <c r="F209" s="7"/>
      <c r="G209" s="7"/>
    </row>
    <row r="210" spans="1:7" ht="13" x14ac:dyDescent="0.15">
      <c r="A210" s="8"/>
      <c r="B210" s="7"/>
      <c r="C210" s="7"/>
      <c r="D210" s="7"/>
      <c r="E210" s="7"/>
      <c r="F210" s="7"/>
      <c r="G210" s="7"/>
    </row>
    <row r="211" spans="1:7" ht="13" x14ac:dyDescent="0.15">
      <c r="A211" s="8"/>
      <c r="B211" s="7"/>
      <c r="C211" s="7"/>
      <c r="D211" s="7"/>
      <c r="E211" s="7"/>
      <c r="F211" s="7"/>
      <c r="G211" s="7"/>
    </row>
    <row r="212" spans="1:7" ht="13" x14ac:dyDescent="0.15">
      <c r="A212" s="8"/>
      <c r="B212" s="7"/>
      <c r="C212" s="7"/>
      <c r="D212" s="7"/>
      <c r="E212" s="7"/>
      <c r="F212" s="7"/>
      <c r="G212" s="7"/>
    </row>
    <row r="213" spans="1:7" ht="13" x14ac:dyDescent="0.15">
      <c r="A213" s="8"/>
      <c r="B213" s="7"/>
      <c r="C213" s="7"/>
      <c r="D213" s="7"/>
      <c r="E213" s="7"/>
      <c r="F213" s="7"/>
      <c r="G213" s="7"/>
    </row>
    <row r="214" spans="1:7" ht="13" x14ac:dyDescent="0.15">
      <c r="A214" s="8"/>
      <c r="B214" s="7"/>
      <c r="C214" s="7"/>
      <c r="D214" s="7"/>
      <c r="E214" s="7"/>
      <c r="F214" s="7"/>
      <c r="G214" s="7"/>
    </row>
    <row r="215" spans="1:7" ht="13" x14ac:dyDescent="0.15">
      <c r="A215" s="8"/>
      <c r="B215" s="7"/>
      <c r="C215" s="7"/>
      <c r="D215" s="7"/>
      <c r="E215" s="7"/>
      <c r="F215" s="7"/>
      <c r="G215" s="7"/>
    </row>
    <row r="216" spans="1:7" ht="13" x14ac:dyDescent="0.15">
      <c r="A216" s="8"/>
      <c r="B216" s="7"/>
      <c r="C216" s="7"/>
      <c r="D216" s="7"/>
      <c r="E216" s="7"/>
      <c r="F216" s="7"/>
      <c r="G216" s="7"/>
    </row>
    <row r="217" spans="1:7" ht="13" x14ac:dyDescent="0.15">
      <c r="A217" s="8"/>
      <c r="B217" s="7"/>
      <c r="C217" s="7"/>
      <c r="D217" s="7"/>
      <c r="E217" s="7"/>
      <c r="F217" s="7"/>
      <c r="G217" s="7"/>
    </row>
    <row r="218" spans="1:7" ht="13" x14ac:dyDescent="0.15">
      <c r="A218" s="8"/>
      <c r="B218" s="7"/>
      <c r="C218" s="7"/>
      <c r="D218" s="7"/>
      <c r="E218" s="7"/>
      <c r="F218" s="7"/>
      <c r="G218" s="7"/>
    </row>
    <row r="219" spans="1:7" ht="13" x14ac:dyDescent="0.15">
      <c r="A219" s="8"/>
      <c r="B219" s="7"/>
      <c r="C219" s="7"/>
      <c r="D219" s="7"/>
      <c r="E219" s="7"/>
      <c r="F219" s="7"/>
      <c r="G219" s="7"/>
    </row>
    <row r="220" spans="1:7" ht="13" x14ac:dyDescent="0.15">
      <c r="A220" s="8"/>
      <c r="B220" s="7"/>
      <c r="C220" s="7"/>
      <c r="D220" s="7"/>
      <c r="E220" s="7"/>
      <c r="F220" s="7"/>
      <c r="G220" s="7"/>
    </row>
    <row r="221" spans="1:7" ht="13" x14ac:dyDescent="0.15">
      <c r="A221" s="8"/>
      <c r="B221" s="7"/>
      <c r="C221" s="7"/>
      <c r="D221" s="7"/>
      <c r="E221" s="7"/>
      <c r="F221" s="7"/>
      <c r="G221" s="7"/>
    </row>
    <row r="222" spans="1:7" ht="13" x14ac:dyDescent="0.15">
      <c r="A222" s="8"/>
      <c r="B222" s="7"/>
      <c r="C222" s="7"/>
      <c r="D222" s="7"/>
      <c r="E222" s="7"/>
      <c r="F222" s="7"/>
      <c r="G222" s="7"/>
    </row>
    <row r="223" spans="1:7" ht="13" x14ac:dyDescent="0.15">
      <c r="A223" s="8"/>
      <c r="B223" s="7"/>
      <c r="C223" s="7"/>
      <c r="D223" s="7"/>
      <c r="E223" s="7"/>
      <c r="F223" s="7"/>
      <c r="G223" s="7"/>
    </row>
    <row r="224" spans="1:7" ht="13" x14ac:dyDescent="0.15">
      <c r="A224" s="8"/>
      <c r="B224" s="7"/>
      <c r="C224" s="7"/>
      <c r="D224" s="7"/>
      <c r="E224" s="7"/>
      <c r="F224" s="7"/>
      <c r="G224" s="7"/>
    </row>
    <row r="225" spans="1:7" ht="13" x14ac:dyDescent="0.15">
      <c r="A225" s="8"/>
      <c r="B225" s="7"/>
      <c r="C225" s="7"/>
      <c r="D225" s="7"/>
      <c r="E225" s="7"/>
      <c r="F225" s="7"/>
      <c r="G225" s="7"/>
    </row>
    <row r="226" spans="1:7" ht="13" x14ac:dyDescent="0.15">
      <c r="A226" s="8"/>
      <c r="B226" s="7"/>
      <c r="C226" s="7"/>
      <c r="D226" s="7"/>
      <c r="E226" s="7"/>
      <c r="F226" s="7"/>
      <c r="G226" s="7"/>
    </row>
    <row r="227" spans="1:7" ht="13" x14ac:dyDescent="0.15">
      <c r="A227" s="8"/>
      <c r="B227" s="7"/>
      <c r="C227" s="7"/>
      <c r="D227" s="7"/>
      <c r="E227" s="7"/>
      <c r="F227" s="7"/>
      <c r="G227" s="7"/>
    </row>
    <row r="228" spans="1:7" ht="13" x14ac:dyDescent="0.15">
      <c r="A228" s="8"/>
      <c r="B228" s="7"/>
      <c r="C228" s="7"/>
      <c r="D228" s="7"/>
      <c r="E228" s="7"/>
      <c r="F228" s="7"/>
      <c r="G228" s="7"/>
    </row>
    <row r="229" spans="1:7" ht="13" x14ac:dyDescent="0.15">
      <c r="A229" s="8"/>
      <c r="B229" s="7"/>
      <c r="C229" s="7"/>
      <c r="D229" s="7"/>
      <c r="E229" s="7"/>
      <c r="F229" s="7"/>
      <c r="G229" s="7"/>
    </row>
    <row r="230" spans="1:7" ht="13" x14ac:dyDescent="0.15">
      <c r="A230" s="8"/>
      <c r="B230" s="7"/>
      <c r="C230" s="7"/>
      <c r="D230" s="7"/>
      <c r="E230" s="7"/>
      <c r="F230" s="7"/>
      <c r="G230" s="7"/>
    </row>
    <row r="231" spans="1:7" ht="13" x14ac:dyDescent="0.15">
      <c r="A231" s="8"/>
      <c r="B231" s="7"/>
      <c r="C231" s="7"/>
      <c r="D231" s="7"/>
      <c r="E231" s="7"/>
      <c r="F231" s="7"/>
      <c r="G231" s="7"/>
    </row>
    <row r="232" spans="1:7" ht="13" x14ac:dyDescent="0.15">
      <c r="A232" s="8"/>
      <c r="B232" s="7"/>
      <c r="C232" s="7"/>
      <c r="D232" s="7"/>
      <c r="E232" s="7"/>
      <c r="F232" s="7"/>
      <c r="G232" s="7"/>
    </row>
    <row r="233" spans="1:7" ht="13" x14ac:dyDescent="0.15">
      <c r="A233" s="8"/>
      <c r="B233" s="7"/>
      <c r="C233" s="7"/>
      <c r="D233" s="7"/>
      <c r="E233" s="7"/>
      <c r="F233" s="7"/>
      <c r="G233" s="7"/>
    </row>
    <row r="234" spans="1:7" ht="13" x14ac:dyDescent="0.15">
      <c r="A234" s="8"/>
      <c r="B234" s="7"/>
      <c r="C234" s="7"/>
      <c r="D234" s="7"/>
      <c r="E234" s="7"/>
      <c r="F234" s="7"/>
      <c r="G234" s="7"/>
    </row>
    <row r="235" spans="1:7" ht="13" x14ac:dyDescent="0.15">
      <c r="A235" s="8"/>
      <c r="B235" s="7"/>
      <c r="C235" s="7"/>
      <c r="D235" s="7"/>
      <c r="E235" s="7"/>
      <c r="F235" s="7"/>
      <c r="G235" s="7"/>
    </row>
    <row r="236" spans="1:7" ht="13" x14ac:dyDescent="0.15">
      <c r="A236" s="8"/>
      <c r="B236" s="7"/>
      <c r="C236" s="7"/>
      <c r="D236" s="7"/>
      <c r="E236" s="7"/>
      <c r="F236" s="7"/>
      <c r="G236" s="7"/>
    </row>
    <row r="237" spans="1:7" ht="13" x14ac:dyDescent="0.15">
      <c r="A237" s="8"/>
      <c r="B237" s="7"/>
      <c r="C237" s="7"/>
      <c r="D237" s="7"/>
      <c r="E237" s="7"/>
      <c r="F237" s="7"/>
      <c r="G237" s="7"/>
    </row>
    <row r="238" spans="1:7" ht="13" x14ac:dyDescent="0.15">
      <c r="A238" s="8"/>
      <c r="B238" s="7"/>
      <c r="C238" s="7"/>
      <c r="D238" s="7"/>
      <c r="E238" s="7"/>
      <c r="F238" s="7"/>
      <c r="G238" s="7"/>
    </row>
    <row r="239" spans="1:7" ht="13" x14ac:dyDescent="0.15">
      <c r="A239" s="8"/>
      <c r="B239" s="7"/>
      <c r="C239" s="7"/>
      <c r="D239" s="7"/>
      <c r="E239" s="7"/>
      <c r="F239" s="7"/>
      <c r="G239" s="7"/>
    </row>
    <row r="240" spans="1:7" ht="13" x14ac:dyDescent="0.15">
      <c r="A240" s="8"/>
      <c r="B240" s="7"/>
      <c r="C240" s="7"/>
      <c r="D240" s="7"/>
      <c r="E240" s="7"/>
      <c r="F240" s="7"/>
      <c r="G240" s="7"/>
    </row>
    <row r="241" spans="1:7" ht="13" x14ac:dyDescent="0.15">
      <c r="A241" s="8"/>
      <c r="B241" s="7"/>
      <c r="C241" s="7"/>
      <c r="D241" s="7"/>
      <c r="E241" s="7"/>
      <c r="F241" s="7"/>
      <c r="G241" s="7"/>
    </row>
    <row r="242" spans="1:7" ht="13" x14ac:dyDescent="0.15">
      <c r="A242" s="8"/>
      <c r="B242" s="7"/>
      <c r="C242" s="7"/>
      <c r="D242" s="7"/>
      <c r="E242" s="7"/>
      <c r="F242" s="7"/>
      <c r="G242" s="7"/>
    </row>
    <row r="243" spans="1:7" ht="13" x14ac:dyDescent="0.15">
      <c r="A243" s="8"/>
      <c r="B243" s="7"/>
      <c r="C243" s="7"/>
      <c r="D243" s="7"/>
      <c r="E243" s="7"/>
      <c r="F243" s="7"/>
      <c r="G243" s="7"/>
    </row>
    <row r="244" spans="1:7" ht="13" x14ac:dyDescent="0.15">
      <c r="A244" s="8"/>
      <c r="B244" s="7"/>
      <c r="C244" s="7"/>
      <c r="D244" s="7"/>
      <c r="E244" s="7"/>
      <c r="F244" s="7"/>
      <c r="G244" s="7"/>
    </row>
    <row r="245" spans="1:7" ht="13" x14ac:dyDescent="0.15">
      <c r="A245" s="8"/>
      <c r="B245" s="7"/>
      <c r="C245" s="7"/>
      <c r="D245" s="7"/>
      <c r="E245" s="7"/>
      <c r="F245" s="7"/>
      <c r="G245" s="7"/>
    </row>
    <row r="246" spans="1:7" ht="13" x14ac:dyDescent="0.15">
      <c r="A246" s="8"/>
      <c r="B246" s="7"/>
      <c r="C246" s="7"/>
      <c r="D246" s="7"/>
      <c r="E246" s="7"/>
      <c r="F246" s="7"/>
      <c r="G246" s="7"/>
    </row>
    <row r="247" spans="1:7" ht="13" x14ac:dyDescent="0.15">
      <c r="A247" s="8"/>
      <c r="B247" s="7"/>
      <c r="C247" s="7"/>
      <c r="D247" s="7"/>
      <c r="E247" s="7"/>
      <c r="F247" s="7"/>
      <c r="G247" s="7"/>
    </row>
    <row r="248" spans="1:7" ht="13" x14ac:dyDescent="0.15">
      <c r="A248" s="8"/>
      <c r="B248" s="7"/>
      <c r="C248" s="7"/>
      <c r="D248" s="7"/>
      <c r="E248" s="7"/>
      <c r="F248" s="7"/>
      <c r="G248" s="7"/>
    </row>
    <row r="249" spans="1:7" ht="13" x14ac:dyDescent="0.15">
      <c r="A249" s="8"/>
      <c r="B249" s="7"/>
      <c r="C249" s="7"/>
      <c r="D249" s="7"/>
      <c r="E249" s="7"/>
      <c r="F249" s="7"/>
      <c r="G249" s="7"/>
    </row>
    <row r="250" spans="1:7" ht="13" x14ac:dyDescent="0.15">
      <c r="A250" s="8"/>
      <c r="B250" s="7"/>
      <c r="C250" s="7"/>
      <c r="D250" s="7"/>
      <c r="E250" s="7"/>
      <c r="F250" s="7"/>
      <c r="G250" s="7"/>
    </row>
    <row r="251" spans="1:7" ht="13" x14ac:dyDescent="0.15">
      <c r="A251" s="8"/>
      <c r="B251" s="7"/>
      <c r="C251" s="7"/>
      <c r="D251" s="7"/>
      <c r="E251" s="7"/>
      <c r="F251" s="7"/>
      <c r="G251" s="7"/>
    </row>
    <row r="252" spans="1:7" ht="13" x14ac:dyDescent="0.15">
      <c r="A252" s="8"/>
      <c r="B252" s="7"/>
      <c r="C252" s="7"/>
      <c r="D252" s="7"/>
      <c r="E252" s="7"/>
      <c r="F252" s="7"/>
      <c r="G252" s="7"/>
    </row>
    <row r="253" spans="1:7" ht="13" x14ac:dyDescent="0.15">
      <c r="A253" s="8"/>
      <c r="B253" s="7"/>
      <c r="C253" s="7"/>
      <c r="D253" s="7"/>
      <c r="E253" s="7"/>
      <c r="F253" s="7"/>
      <c r="G253" s="7"/>
    </row>
    <row r="254" spans="1:7" ht="13" x14ac:dyDescent="0.15">
      <c r="A254" s="8"/>
      <c r="B254" s="7"/>
      <c r="C254" s="7"/>
      <c r="D254" s="7"/>
      <c r="E254" s="7"/>
      <c r="F254" s="7"/>
      <c r="G254" s="7"/>
    </row>
    <row r="255" spans="1:7" ht="13" x14ac:dyDescent="0.15">
      <c r="A255" s="8"/>
      <c r="B255" s="7"/>
      <c r="C255" s="7"/>
      <c r="D255" s="7"/>
      <c r="E255" s="7"/>
      <c r="F255" s="7"/>
      <c r="G255" s="7"/>
    </row>
    <row r="256" spans="1:7" ht="13" x14ac:dyDescent="0.15">
      <c r="A256" s="8"/>
      <c r="B256" s="7"/>
      <c r="C256" s="7"/>
      <c r="D256" s="7"/>
      <c r="E256" s="7"/>
      <c r="F256" s="7"/>
      <c r="G256" s="7"/>
    </row>
    <row r="257" spans="1:7" ht="13" x14ac:dyDescent="0.15">
      <c r="A257" s="8"/>
      <c r="B257" s="7"/>
      <c r="C257" s="7"/>
      <c r="D257" s="7"/>
      <c r="E257" s="7"/>
      <c r="F257" s="7"/>
      <c r="G257" s="7"/>
    </row>
    <row r="258" spans="1:7" ht="13" x14ac:dyDescent="0.15">
      <c r="A258" s="8"/>
      <c r="B258" s="7"/>
      <c r="C258" s="7"/>
      <c r="D258" s="7"/>
      <c r="E258" s="7"/>
      <c r="F258" s="7"/>
      <c r="G258" s="7"/>
    </row>
    <row r="259" spans="1:7" ht="13" x14ac:dyDescent="0.15">
      <c r="A259" s="8"/>
      <c r="B259" s="7"/>
      <c r="C259" s="7"/>
      <c r="D259" s="7"/>
      <c r="E259" s="7"/>
      <c r="F259" s="7"/>
      <c r="G259" s="7"/>
    </row>
    <row r="260" spans="1:7" ht="13" x14ac:dyDescent="0.15">
      <c r="A260" s="8"/>
      <c r="B260" s="7"/>
      <c r="C260" s="7"/>
      <c r="D260" s="7"/>
      <c r="E260" s="7"/>
      <c r="F260" s="7"/>
      <c r="G260" s="7"/>
    </row>
    <row r="261" spans="1:7" ht="13" x14ac:dyDescent="0.15">
      <c r="A261" s="8"/>
      <c r="B261" s="7"/>
      <c r="C261" s="7"/>
      <c r="D261" s="7"/>
      <c r="E261" s="7"/>
      <c r="F261" s="7"/>
      <c r="G261" s="7"/>
    </row>
    <row r="262" spans="1:7" ht="13" x14ac:dyDescent="0.15">
      <c r="A262" s="8"/>
      <c r="B262" s="7"/>
      <c r="C262" s="7"/>
      <c r="D262" s="7"/>
      <c r="E262" s="7"/>
      <c r="F262" s="7"/>
      <c r="G262" s="7"/>
    </row>
    <row r="263" spans="1:7" ht="13" x14ac:dyDescent="0.15">
      <c r="A263" s="8"/>
      <c r="B263" s="7"/>
      <c r="C263" s="7"/>
      <c r="D263" s="7"/>
      <c r="E263" s="7"/>
      <c r="F263" s="7"/>
      <c r="G263" s="7"/>
    </row>
    <row r="264" spans="1:7" ht="13" x14ac:dyDescent="0.15">
      <c r="A264" s="8"/>
      <c r="B264" s="7"/>
      <c r="C264" s="7"/>
      <c r="D264" s="7"/>
      <c r="E264" s="7"/>
      <c r="F264" s="7"/>
      <c r="G264" s="7"/>
    </row>
    <row r="265" spans="1:7" ht="13" x14ac:dyDescent="0.15">
      <c r="A265" s="8"/>
      <c r="B265" s="7"/>
      <c r="C265" s="7"/>
      <c r="D265" s="7"/>
      <c r="E265" s="7"/>
      <c r="F265" s="7"/>
      <c r="G265" s="7"/>
    </row>
    <row r="266" spans="1:7" ht="13" x14ac:dyDescent="0.15">
      <c r="A266" s="8"/>
      <c r="B266" s="7"/>
      <c r="C266" s="7"/>
      <c r="D266" s="7"/>
      <c r="E266" s="7"/>
      <c r="F266" s="7"/>
      <c r="G266" s="7"/>
    </row>
    <row r="267" spans="1:7" ht="13" x14ac:dyDescent="0.15">
      <c r="A267" s="8"/>
      <c r="B267" s="7"/>
      <c r="C267" s="7"/>
      <c r="D267" s="7"/>
      <c r="E267" s="7"/>
      <c r="F267" s="7"/>
      <c r="G267" s="7"/>
    </row>
    <row r="268" spans="1:7" ht="13" x14ac:dyDescent="0.15">
      <c r="A268" s="8"/>
      <c r="B268" s="7"/>
      <c r="C268" s="7"/>
      <c r="D268" s="7"/>
      <c r="E268" s="7"/>
      <c r="F268" s="7"/>
      <c r="G268" s="7"/>
    </row>
    <row r="269" spans="1:7" ht="13" x14ac:dyDescent="0.15">
      <c r="A269" s="8"/>
      <c r="B269" s="7"/>
      <c r="C269" s="7"/>
      <c r="D269" s="7"/>
      <c r="E269" s="7"/>
      <c r="F269" s="7"/>
      <c r="G269" s="7"/>
    </row>
    <row r="270" spans="1:7" ht="13" x14ac:dyDescent="0.15">
      <c r="A270" s="8"/>
      <c r="B270" s="7"/>
      <c r="C270" s="7"/>
      <c r="D270" s="7"/>
      <c r="E270" s="7"/>
      <c r="F270" s="7"/>
      <c r="G270" s="7"/>
    </row>
    <row r="271" spans="1:7" ht="13" x14ac:dyDescent="0.15">
      <c r="A271" s="8"/>
      <c r="B271" s="7"/>
      <c r="C271" s="7"/>
      <c r="D271" s="7"/>
      <c r="E271" s="7"/>
      <c r="F271" s="7"/>
      <c r="G271" s="7"/>
    </row>
    <row r="272" spans="1:7" ht="13" x14ac:dyDescent="0.15">
      <c r="A272" s="8"/>
      <c r="B272" s="7"/>
      <c r="C272" s="7"/>
      <c r="D272" s="7"/>
      <c r="E272" s="7"/>
      <c r="F272" s="7"/>
      <c r="G272" s="7"/>
    </row>
    <row r="273" spans="1:7" ht="13" x14ac:dyDescent="0.15">
      <c r="A273" s="8"/>
      <c r="B273" s="7"/>
      <c r="C273" s="7"/>
      <c r="D273" s="7"/>
      <c r="E273" s="7"/>
      <c r="F273" s="7"/>
      <c r="G273" s="7"/>
    </row>
    <row r="274" spans="1:7" ht="13" x14ac:dyDescent="0.15">
      <c r="A274" s="8"/>
      <c r="B274" s="7"/>
      <c r="C274" s="7"/>
      <c r="D274" s="7"/>
      <c r="E274" s="7"/>
      <c r="F274" s="7"/>
      <c r="G274" s="7"/>
    </row>
    <row r="275" spans="1:7" ht="13" x14ac:dyDescent="0.15">
      <c r="A275" s="8"/>
      <c r="B275" s="7"/>
      <c r="C275" s="7"/>
      <c r="D275" s="7"/>
      <c r="E275" s="7"/>
      <c r="F275" s="7"/>
      <c r="G275" s="7"/>
    </row>
    <row r="276" spans="1:7" ht="13" x14ac:dyDescent="0.15">
      <c r="A276" s="8"/>
      <c r="B276" s="7"/>
      <c r="C276" s="7"/>
      <c r="D276" s="7"/>
      <c r="E276" s="7"/>
      <c r="F276" s="7"/>
      <c r="G276" s="7"/>
    </row>
    <row r="277" spans="1:7" ht="13" x14ac:dyDescent="0.15">
      <c r="A277" s="8"/>
      <c r="B277" s="7"/>
      <c r="C277" s="7"/>
      <c r="D277" s="7"/>
      <c r="E277" s="7"/>
      <c r="F277" s="7"/>
      <c r="G277" s="7"/>
    </row>
    <row r="278" spans="1:7" ht="13" x14ac:dyDescent="0.15">
      <c r="A278" s="8"/>
      <c r="B278" s="7"/>
      <c r="C278" s="7"/>
      <c r="D278" s="7"/>
      <c r="E278" s="7"/>
      <c r="F278" s="7"/>
      <c r="G278" s="7"/>
    </row>
    <row r="279" spans="1:7" ht="13" x14ac:dyDescent="0.15">
      <c r="A279" s="8"/>
      <c r="B279" s="7"/>
      <c r="C279" s="7"/>
      <c r="D279" s="7"/>
      <c r="E279" s="7"/>
      <c r="F279" s="7"/>
      <c r="G279" s="7"/>
    </row>
    <row r="280" spans="1:7" ht="13" x14ac:dyDescent="0.15">
      <c r="A280" s="8"/>
      <c r="B280" s="7"/>
      <c r="C280" s="7"/>
      <c r="D280" s="7"/>
      <c r="E280" s="7"/>
      <c r="F280" s="7"/>
      <c r="G280" s="7"/>
    </row>
    <row r="281" spans="1:7" ht="13" x14ac:dyDescent="0.15">
      <c r="A281" s="8"/>
      <c r="B281" s="7"/>
      <c r="C281" s="7"/>
      <c r="D281" s="7"/>
      <c r="E281" s="7"/>
      <c r="F281" s="7"/>
      <c r="G281" s="7"/>
    </row>
    <row r="282" spans="1:7" ht="13" x14ac:dyDescent="0.15">
      <c r="A282" s="8"/>
      <c r="B282" s="7"/>
      <c r="C282" s="7"/>
      <c r="D282" s="7"/>
      <c r="E282" s="7"/>
      <c r="F282" s="7"/>
      <c r="G282" s="7"/>
    </row>
    <row r="283" spans="1:7" ht="13" x14ac:dyDescent="0.15">
      <c r="A283" s="8"/>
      <c r="B283" s="7"/>
      <c r="C283" s="7"/>
      <c r="D283" s="7"/>
      <c r="E283" s="7"/>
      <c r="F283" s="7"/>
      <c r="G283" s="7"/>
    </row>
    <row r="284" spans="1:7" ht="13" x14ac:dyDescent="0.15">
      <c r="A284" s="8"/>
      <c r="B284" s="7"/>
      <c r="C284" s="7"/>
      <c r="D284" s="7"/>
      <c r="E284" s="7"/>
      <c r="F284" s="7"/>
      <c r="G284" s="7"/>
    </row>
    <row r="285" spans="1:7" ht="13" x14ac:dyDescent="0.15">
      <c r="A285" s="8"/>
      <c r="B285" s="7"/>
      <c r="C285" s="7"/>
      <c r="D285" s="7"/>
      <c r="E285" s="7"/>
      <c r="F285" s="7"/>
      <c r="G285" s="7"/>
    </row>
    <row r="286" spans="1:7" ht="13" x14ac:dyDescent="0.15">
      <c r="A286" s="8"/>
      <c r="B286" s="7"/>
      <c r="C286" s="7"/>
      <c r="D286" s="7"/>
      <c r="E286" s="7"/>
      <c r="F286" s="7"/>
      <c r="G286" s="7"/>
    </row>
    <row r="287" spans="1:7" ht="13" x14ac:dyDescent="0.15">
      <c r="A287" s="8"/>
      <c r="B287" s="7"/>
      <c r="C287" s="7"/>
      <c r="D287" s="7"/>
      <c r="E287" s="7"/>
      <c r="F287" s="7"/>
      <c r="G287" s="7"/>
    </row>
    <row r="288" spans="1:7" ht="13" x14ac:dyDescent="0.15">
      <c r="A288" s="8"/>
      <c r="B288" s="7"/>
      <c r="C288" s="7"/>
      <c r="D288" s="7"/>
      <c r="E288" s="7"/>
      <c r="F288" s="7"/>
      <c r="G288" s="7"/>
    </row>
    <row r="289" spans="1:7" ht="13" x14ac:dyDescent="0.15">
      <c r="A289" s="8"/>
      <c r="B289" s="7"/>
      <c r="C289" s="7"/>
      <c r="D289" s="7"/>
      <c r="E289" s="7"/>
      <c r="F289" s="7"/>
      <c r="G289" s="7"/>
    </row>
    <row r="290" spans="1:7" ht="13" x14ac:dyDescent="0.15">
      <c r="A290" s="8"/>
      <c r="B290" s="7"/>
      <c r="C290" s="7"/>
      <c r="D290" s="7"/>
      <c r="E290" s="7"/>
      <c r="F290" s="7"/>
      <c r="G290" s="7"/>
    </row>
    <row r="291" spans="1:7" ht="13" x14ac:dyDescent="0.15">
      <c r="A291" s="8"/>
      <c r="B291" s="7"/>
      <c r="C291" s="7"/>
      <c r="D291" s="7"/>
      <c r="E291" s="7"/>
      <c r="F291" s="7"/>
      <c r="G291" s="7"/>
    </row>
    <row r="292" spans="1:7" ht="13" x14ac:dyDescent="0.15">
      <c r="A292" s="8"/>
      <c r="B292" s="7"/>
      <c r="C292" s="7"/>
      <c r="D292" s="7"/>
      <c r="E292" s="7"/>
      <c r="F292" s="7"/>
      <c r="G292" s="7"/>
    </row>
    <row r="293" spans="1:7" ht="13" x14ac:dyDescent="0.15">
      <c r="A293" s="8"/>
      <c r="B293" s="7"/>
      <c r="C293" s="7"/>
      <c r="D293" s="7"/>
      <c r="E293" s="7"/>
      <c r="F293" s="7"/>
      <c r="G293" s="7"/>
    </row>
    <row r="294" spans="1:7" ht="13" x14ac:dyDescent="0.15">
      <c r="A294" s="8"/>
      <c r="B294" s="7"/>
      <c r="C294" s="7"/>
      <c r="D294" s="7"/>
      <c r="E294" s="7"/>
      <c r="F294" s="7"/>
      <c r="G294" s="7"/>
    </row>
    <row r="295" spans="1:7" ht="13" x14ac:dyDescent="0.15">
      <c r="A295" s="8"/>
      <c r="B295" s="7"/>
      <c r="C295" s="7"/>
      <c r="D295" s="7"/>
      <c r="E295" s="7"/>
      <c r="F295" s="7"/>
      <c r="G295" s="7"/>
    </row>
    <row r="296" spans="1:7" ht="13" x14ac:dyDescent="0.15">
      <c r="A296" s="8"/>
      <c r="B296" s="7"/>
      <c r="C296" s="7"/>
      <c r="D296" s="7"/>
      <c r="E296" s="7"/>
      <c r="F296" s="7"/>
      <c r="G296" s="7"/>
    </row>
    <row r="297" spans="1:7" ht="13" x14ac:dyDescent="0.15">
      <c r="A297" s="8"/>
      <c r="B297" s="7"/>
      <c r="C297" s="7"/>
      <c r="D297" s="7"/>
      <c r="E297" s="7"/>
      <c r="F297" s="7"/>
      <c r="G297" s="7"/>
    </row>
    <row r="298" spans="1:7" ht="13" x14ac:dyDescent="0.15">
      <c r="A298" s="8"/>
      <c r="B298" s="7"/>
      <c r="C298" s="7"/>
      <c r="D298" s="7"/>
      <c r="E298" s="7"/>
      <c r="F298" s="7"/>
      <c r="G298" s="7"/>
    </row>
    <row r="299" spans="1:7" ht="13" x14ac:dyDescent="0.15">
      <c r="A299" s="8"/>
      <c r="B299" s="7"/>
      <c r="C299" s="7"/>
      <c r="D299" s="7"/>
      <c r="E299" s="7"/>
      <c r="F299" s="7"/>
      <c r="G299" s="7"/>
    </row>
    <row r="300" spans="1:7" ht="13" x14ac:dyDescent="0.15">
      <c r="A300" s="8"/>
      <c r="B300" s="7"/>
      <c r="C300" s="7"/>
      <c r="D300" s="7"/>
      <c r="E300" s="7"/>
      <c r="F300" s="7"/>
      <c r="G300" s="7"/>
    </row>
    <row r="301" spans="1:7" ht="13" x14ac:dyDescent="0.15">
      <c r="A301" s="8"/>
      <c r="B301" s="7"/>
      <c r="C301" s="7"/>
      <c r="D301" s="7"/>
      <c r="E301" s="7"/>
      <c r="F301" s="7"/>
      <c r="G301" s="7"/>
    </row>
    <row r="302" spans="1:7" ht="13" x14ac:dyDescent="0.15">
      <c r="A302" s="8"/>
      <c r="B302" s="7"/>
      <c r="C302" s="7"/>
      <c r="D302" s="7"/>
      <c r="E302" s="7"/>
      <c r="F302" s="7"/>
      <c r="G302" s="7"/>
    </row>
    <row r="303" spans="1:7" ht="13" x14ac:dyDescent="0.15">
      <c r="A303" s="8"/>
      <c r="B303" s="7"/>
      <c r="C303" s="7"/>
      <c r="D303" s="7"/>
      <c r="E303" s="7"/>
      <c r="F303" s="7"/>
      <c r="G303" s="7"/>
    </row>
    <row r="304" spans="1:7" ht="13" x14ac:dyDescent="0.15">
      <c r="A304" s="8"/>
      <c r="B304" s="7"/>
      <c r="C304" s="7"/>
      <c r="D304" s="7"/>
      <c r="E304" s="7"/>
      <c r="F304" s="7"/>
      <c r="G304" s="7"/>
    </row>
    <row r="305" spans="1:7" ht="13" x14ac:dyDescent="0.15">
      <c r="A305" s="8"/>
      <c r="B305" s="7"/>
      <c r="C305" s="7"/>
      <c r="D305" s="7"/>
      <c r="E305" s="7"/>
      <c r="F305" s="7"/>
      <c r="G305" s="7"/>
    </row>
    <row r="306" spans="1:7" ht="13" x14ac:dyDescent="0.15">
      <c r="A306" s="8"/>
      <c r="B306" s="7"/>
      <c r="C306" s="7"/>
      <c r="D306" s="7"/>
      <c r="E306" s="7"/>
      <c r="F306" s="7"/>
      <c r="G306" s="7"/>
    </row>
    <row r="307" spans="1:7" ht="13" x14ac:dyDescent="0.15">
      <c r="A307" s="8"/>
      <c r="B307" s="7"/>
      <c r="C307" s="7"/>
      <c r="D307" s="7"/>
      <c r="E307" s="7"/>
      <c r="F307" s="7"/>
      <c r="G307" s="7"/>
    </row>
    <row r="308" spans="1:7" ht="13" x14ac:dyDescent="0.15">
      <c r="A308" s="8"/>
      <c r="B308" s="7"/>
      <c r="C308" s="7"/>
      <c r="D308" s="7"/>
      <c r="E308" s="7"/>
      <c r="F308" s="7"/>
      <c r="G308" s="7"/>
    </row>
    <row r="309" spans="1:7" ht="13" x14ac:dyDescent="0.15">
      <c r="A309" s="8"/>
      <c r="B309" s="7"/>
      <c r="C309" s="7"/>
      <c r="D309" s="7"/>
      <c r="E309" s="7"/>
      <c r="F309" s="7"/>
      <c r="G309" s="7"/>
    </row>
    <row r="310" spans="1:7" ht="13" x14ac:dyDescent="0.15">
      <c r="A310" s="8"/>
      <c r="B310" s="7"/>
      <c r="C310" s="7"/>
      <c r="D310" s="7"/>
      <c r="E310" s="7"/>
      <c r="F310" s="7"/>
      <c r="G310" s="7"/>
    </row>
    <row r="311" spans="1:7" ht="13" x14ac:dyDescent="0.15">
      <c r="A311" s="8"/>
      <c r="B311" s="7"/>
      <c r="C311" s="7"/>
      <c r="D311" s="7"/>
      <c r="E311" s="7"/>
      <c r="F311" s="7"/>
      <c r="G311" s="7"/>
    </row>
    <row r="312" spans="1:7" ht="13" x14ac:dyDescent="0.15">
      <c r="A312" s="8"/>
      <c r="B312" s="7"/>
      <c r="C312" s="7"/>
      <c r="D312" s="7"/>
      <c r="E312" s="7"/>
      <c r="F312" s="7"/>
      <c r="G312" s="7"/>
    </row>
    <row r="313" spans="1:7" ht="13" x14ac:dyDescent="0.15">
      <c r="A313" s="8"/>
      <c r="B313" s="7"/>
      <c r="C313" s="7"/>
      <c r="D313" s="7"/>
      <c r="E313" s="7"/>
      <c r="F313" s="7"/>
      <c r="G313" s="7"/>
    </row>
    <row r="314" spans="1:7" ht="13" x14ac:dyDescent="0.15">
      <c r="A314" s="8"/>
      <c r="B314" s="7"/>
      <c r="C314" s="7"/>
      <c r="D314" s="7"/>
      <c r="E314" s="7"/>
      <c r="F314" s="7"/>
      <c r="G314" s="7"/>
    </row>
    <row r="315" spans="1:7" ht="13" x14ac:dyDescent="0.15">
      <c r="A315" s="8"/>
      <c r="B315" s="7"/>
      <c r="C315" s="7"/>
      <c r="D315" s="7"/>
      <c r="E315" s="7"/>
      <c r="F315" s="7"/>
      <c r="G315" s="7"/>
    </row>
    <row r="316" spans="1:7" ht="13" x14ac:dyDescent="0.15">
      <c r="A316" s="8"/>
      <c r="B316" s="7"/>
      <c r="C316" s="7"/>
      <c r="D316" s="7"/>
      <c r="E316" s="7"/>
      <c r="F316" s="7"/>
      <c r="G316" s="7"/>
    </row>
    <row r="317" spans="1:7" ht="13" x14ac:dyDescent="0.15">
      <c r="A317" s="8"/>
      <c r="B317" s="7"/>
      <c r="C317" s="7"/>
      <c r="D317" s="7"/>
      <c r="E317" s="7"/>
      <c r="F317" s="7"/>
      <c r="G317" s="7"/>
    </row>
    <row r="318" spans="1:7" ht="13" x14ac:dyDescent="0.15">
      <c r="A318" s="8"/>
      <c r="B318" s="7"/>
      <c r="C318" s="7"/>
      <c r="D318" s="7"/>
      <c r="E318" s="7"/>
      <c r="F318" s="7"/>
      <c r="G318" s="7"/>
    </row>
    <row r="319" spans="1:7" ht="13" x14ac:dyDescent="0.15">
      <c r="A319" s="8"/>
      <c r="B319" s="7"/>
      <c r="C319" s="7"/>
      <c r="D319" s="7"/>
      <c r="E319" s="7"/>
      <c r="F319" s="7"/>
      <c r="G319" s="7"/>
    </row>
    <row r="320" spans="1:7" ht="13" x14ac:dyDescent="0.15">
      <c r="A320" s="8"/>
      <c r="B320" s="7"/>
      <c r="C320" s="7"/>
      <c r="D320" s="7"/>
      <c r="E320" s="7"/>
      <c r="F320" s="7"/>
      <c r="G320" s="7"/>
    </row>
    <row r="321" spans="1:7" ht="13" x14ac:dyDescent="0.15">
      <c r="A321" s="8"/>
      <c r="B321" s="7"/>
      <c r="C321" s="7"/>
      <c r="D321" s="7"/>
      <c r="E321" s="7"/>
      <c r="F321" s="7"/>
      <c r="G321" s="7"/>
    </row>
    <row r="322" spans="1:7" ht="13" x14ac:dyDescent="0.15">
      <c r="A322" s="8"/>
      <c r="B322" s="7"/>
      <c r="C322" s="7"/>
      <c r="D322" s="7"/>
      <c r="E322" s="7"/>
      <c r="F322" s="7"/>
      <c r="G322" s="7"/>
    </row>
    <row r="323" spans="1:7" ht="13" x14ac:dyDescent="0.15">
      <c r="A323" s="8"/>
      <c r="B323" s="7"/>
      <c r="C323" s="7"/>
      <c r="D323" s="7"/>
      <c r="E323" s="7"/>
      <c r="F323" s="7"/>
      <c r="G323" s="7"/>
    </row>
    <row r="324" spans="1:7" ht="13" x14ac:dyDescent="0.15">
      <c r="A324" s="8"/>
      <c r="B324" s="7"/>
      <c r="C324" s="7"/>
      <c r="D324" s="7"/>
      <c r="E324" s="7"/>
      <c r="F324" s="7"/>
      <c r="G324" s="7"/>
    </row>
    <row r="325" spans="1:7" ht="13" x14ac:dyDescent="0.15">
      <c r="A325" s="8"/>
      <c r="B325" s="7"/>
      <c r="C325" s="7"/>
      <c r="D325" s="7"/>
      <c r="E325" s="7"/>
      <c r="F325" s="7"/>
      <c r="G325" s="7"/>
    </row>
    <row r="326" spans="1:7" ht="13" x14ac:dyDescent="0.15">
      <c r="A326" s="8"/>
      <c r="B326" s="7"/>
      <c r="C326" s="7"/>
      <c r="D326" s="7"/>
      <c r="E326" s="7"/>
      <c r="F326" s="7"/>
      <c r="G326" s="7"/>
    </row>
    <row r="327" spans="1:7" ht="13" x14ac:dyDescent="0.15">
      <c r="A327" s="8"/>
      <c r="B327" s="7"/>
      <c r="C327" s="7"/>
      <c r="D327" s="7"/>
      <c r="E327" s="7"/>
      <c r="F327" s="7"/>
      <c r="G327" s="7"/>
    </row>
    <row r="328" spans="1:7" ht="13" x14ac:dyDescent="0.15">
      <c r="A328" s="8"/>
      <c r="B328" s="7"/>
      <c r="C328" s="7"/>
      <c r="D328" s="7"/>
      <c r="E328" s="7"/>
      <c r="F328" s="7"/>
      <c r="G328" s="7"/>
    </row>
    <row r="329" spans="1:7" ht="13" x14ac:dyDescent="0.15">
      <c r="A329" s="8"/>
      <c r="B329" s="7"/>
      <c r="C329" s="7"/>
      <c r="D329" s="7"/>
      <c r="E329" s="7"/>
      <c r="F329" s="7"/>
      <c r="G329" s="7"/>
    </row>
    <row r="330" spans="1:7" ht="13" x14ac:dyDescent="0.15">
      <c r="A330" s="8"/>
      <c r="B330" s="7"/>
      <c r="C330" s="7"/>
      <c r="D330" s="7"/>
      <c r="E330" s="7"/>
      <c r="F330" s="7"/>
      <c r="G330" s="7"/>
    </row>
    <row r="331" spans="1:7" ht="13" x14ac:dyDescent="0.15">
      <c r="A331" s="8"/>
      <c r="B331" s="7"/>
      <c r="C331" s="7"/>
      <c r="D331" s="7"/>
      <c r="E331" s="7"/>
      <c r="F331" s="7"/>
      <c r="G331" s="7"/>
    </row>
    <row r="332" spans="1:7" ht="13" x14ac:dyDescent="0.15">
      <c r="A332" s="8"/>
      <c r="B332" s="7"/>
      <c r="C332" s="7"/>
      <c r="D332" s="7"/>
      <c r="E332" s="7"/>
      <c r="F332" s="7"/>
      <c r="G332" s="7"/>
    </row>
    <row r="333" spans="1:7" ht="13" x14ac:dyDescent="0.15">
      <c r="A333" s="8"/>
      <c r="B333" s="7"/>
      <c r="C333" s="7"/>
      <c r="D333" s="7"/>
      <c r="E333" s="7"/>
      <c r="F333" s="7"/>
      <c r="G333" s="7"/>
    </row>
    <row r="334" spans="1:7" ht="13" x14ac:dyDescent="0.15">
      <c r="A334" s="8"/>
      <c r="B334" s="7"/>
      <c r="C334" s="7"/>
      <c r="D334" s="7"/>
      <c r="E334" s="7"/>
      <c r="F334" s="7"/>
      <c r="G334" s="7"/>
    </row>
    <row r="335" spans="1:7" ht="13" x14ac:dyDescent="0.15">
      <c r="A335" s="8"/>
      <c r="B335" s="7"/>
      <c r="C335" s="7"/>
      <c r="D335" s="7"/>
      <c r="E335" s="7"/>
      <c r="F335" s="7"/>
      <c r="G335" s="7"/>
    </row>
    <row r="336" spans="1:7" ht="13" x14ac:dyDescent="0.15">
      <c r="A336" s="8"/>
      <c r="B336" s="7"/>
      <c r="C336" s="7"/>
      <c r="D336" s="7"/>
      <c r="E336" s="7"/>
      <c r="F336" s="7"/>
      <c r="G336" s="7"/>
    </row>
    <row r="337" spans="1:7" ht="13" x14ac:dyDescent="0.15">
      <c r="A337" s="8"/>
      <c r="B337" s="7"/>
      <c r="C337" s="7"/>
      <c r="D337" s="7"/>
      <c r="E337" s="7"/>
      <c r="F337" s="7"/>
      <c r="G337" s="7"/>
    </row>
    <row r="338" spans="1:7" ht="13" x14ac:dyDescent="0.15">
      <c r="A338" s="8"/>
      <c r="B338" s="7"/>
      <c r="C338" s="7"/>
      <c r="D338" s="7"/>
      <c r="E338" s="7"/>
      <c r="F338" s="7"/>
      <c r="G338" s="7"/>
    </row>
    <row r="339" spans="1:7" ht="13" x14ac:dyDescent="0.15">
      <c r="A339" s="8"/>
      <c r="B339" s="7"/>
      <c r="C339" s="7"/>
      <c r="D339" s="7"/>
      <c r="E339" s="7"/>
      <c r="F339" s="7"/>
      <c r="G339" s="7"/>
    </row>
    <row r="340" spans="1:7" ht="13" x14ac:dyDescent="0.15">
      <c r="A340" s="8"/>
      <c r="B340" s="7"/>
      <c r="C340" s="7"/>
      <c r="D340" s="7"/>
      <c r="E340" s="7"/>
      <c r="F340" s="7"/>
      <c r="G340" s="7"/>
    </row>
    <row r="341" spans="1:7" ht="13" x14ac:dyDescent="0.15">
      <c r="A341" s="8"/>
      <c r="B341" s="7"/>
      <c r="C341" s="7"/>
      <c r="D341" s="7"/>
      <c r="E341" s="7"/>
      <c r="F341" s="7"/>
      <c r="G341" s="7"/>
    </row>
    <row r="342" spans="1:7" ht="13" x14ac:dyDescent="0.15">
      <c r="A342" s="8"/>
      <c r="B342" s="7"/>
      <c r="C342" s="7"/>
      <c r="D342" s="7"/>
      <c r="E342" s="7"/>
      <c r="F342" s="7"/>
      <c r="G342" s="7"/>
    </row>
    <row r="343" spans="1:7" ht="13" x14ac:dyDescent="0.15">
      <c r="A343" s="8"/>
      <c r="B343" s="7"/>
      <c r="C343" s="7"/>
      <c r="D343" s="7"/>
      <c r="E343" s="7"/>
      <c r="F343" s="7"/>
      <c r="G343" s="7"/>
    </row>
    <row r="344" spans="1:7" ht="13" x14ac:dyDescent="0.15">
      <c r="A344" s="8"/>
      <c r="B344" s="7"/>
      <c r="C344" s="7"/>
      <c r="D344" s="7"/>
      <c r="E344" s="7"/>
      <c r="F344" s="7"/>
      <c r="G344" s="7"/>
    </row>
    <row r="345" spans="1:7" ht="13" x14ac:dyDescent="0.15">
      <c r="A345" s="8"/>
      <c r="B345" s="7"/>
      <c r="C345" s="7"/>
      <c r="D345" s="7"/>
      <c r="E345" s="7"/>
      <c r="F345" s="7"/>
      <c r="G345" s="7"/>
    </row>
    <row r="346" spans="1:7" ht="13" x14ac:dyDescent="0.15">
      <c r="A346" s="8"/>
      <c r="B346" s="7"/>
      <c r="C346" s="7"/>
      <c r="D346" s="7"/>
      <c r="E346" s="7"/>
      <c r="F346" s="7"/>
      <c r="G346" s="7"/>
    </row>
    <row r="347" spans="1:7" ht="13" x14ac:dyDescent="0.15">
      <c r="A347" s="8"/>
      <c r="B347" s="7"/>
      <c r="C347" s="7"/>
      <c r="D347" s="7"/>
      <c r="E347" s="7"/>
      <c r="F347" s="7"/>
      <c r="G347" s="7"/>
    </row>
    <row r="348" spans="1:7" ht="13" x14ac:dyDescent="0.15">
      <c r="A348" s="8"/>
      <c r="B348" s="7"/>
      <c r="C348" s="7"/>
      <c r="D348" s="7"/>
      <c r="E348" s="7"/>
      <c r="F348" s="7"/>
      <c r="G348" s="7"/>
    </row>
    <row r="349" spans="1:7" ht="13" x14ac:dyDescent="0.15">
      <c r="A349" s="8"/>
      <c r="B349" s="7"/>
      <c r="C349" s="7"/>
      <c r="D349" s="7"/>
      <c r="E349" s="7"/>
      <c r="F349" s="7"/>
      <c r="G349" s="7"/>
    </row>
    <row r="350" spans="1:7" ht="13" x14ac:dyDescent="0.15">
      <c r="A350" s="8"/>
      <c r="B350" s="7"/>
      <c r="C350" s="7"/>
      <c r="D350" s="7"/>
      <c r="E350" s="7"/>
      <c r="F350" s="7"/>
      <c r="G350" s="7"/>
    </row>
    <row r="351" spans="1:7" ht="13" x14ac:dyDescent="0.15">
      <c r="A351" s="8"/>
      <c r="B351" s="7"/>
      <c r="C351" s="7"/>
      <c r="D351" s="7"/>
      <c r="E351" s="7"/>
      <c r="F351" s="7"/>
      <c r="G351" s="7"/>
    </row>
    <row r="352" spans="1:7" ht="13" x14ac:dyDescent="0.15">
      <c r="A352" s="8"/>
      <c r="B352" s="7"/>
      <c r="C352" s="7"/>
      <c r="D352" s="7"/>
      <c r="E352" s="7"/>
      <c r="F352" s="7"/>
      <c r="G352" s="7"/>
    </row>
    <row r="353" spans="1:7" ht="13" x14ac:dyDescent="0.15">
      <c r="A353" s="8"/>
      <c r="B353" s="7"/>
      <c r="C353" s="7"/>
      <c r="D353" s="7"/>
      <c r="E353" s="7"/>
      <c r="F353" s="7"/>
      <c r="G353" s="7"/>
    </row>
    <row r="354" spans="1:7" ht="13" x14ac:dyDescent="0.15">
      <c r="A354" s="8"/>
      <c r="B354" s="7"/>
      <c r="C354" s="7"/>
      <c r="D354" s="7"/>
      <c r="E354" s="7"/>
      <c r="F354" s="7"/>
      <c r="G354" s="7"/>
    </row>
    <row r="355" spans="1:7" ht="13" x14ac:dyDescent="0.15">
      <c r="A355" s="8"/>
      <c r="B355" s="7"/>
      <c r="C355" s="7"/>
      <c r="D355" s="7"/>
      <c r="E355" s="7"/>
      <c r="F355" s="7"/>
      <c r="G355" s="7"/>
    </row>
    <row r="356" spans="1:7" ht="13" x14ac:dyDescent="0.15">
      <c r="A356" s="8"/>
      <c r="B356" s="7"/>
      <c r="C356" s="7"/>
      <c r="D356" s="7"/>
      <c r="E356" s="7"/>
      <c r="F356" s="7"/>
      <c r="G356" s="7"/>
    </row>
    <row r="357" spans="1:7" ht="13" x14ac:dyDescent="0.15">
      <c r="A357" s="8"/>
      <c r="B357" s="7"/>
      <c r="C357" s="7"/>
      <c r="D357" s="7"/>
      <c r="E357" s="7"/>
      <c r="F357" s="7"/>
      <c r="G357" s="7"/>
    </row>
    <row r="358" spans="1:7" ht="13" x14ac:dyDescent="0.15">
      <c r="A358" s="8"/>
      <c r="B358" s="7"/>
      <c r="C358" s="7"/>
      <c r="D358" s="7"/>
      <c r="E358" s="7"/>
      <c r="F358" s="7"/>
      <c r="G358" s="7"/>
    </row>
    <row r="359" spans="1:7" ht="13" x14ac:dyDescent="0.15">
      <c r="A359" s="8"/>
      <c r="B359" s="7"/>
      <c r="C359" s="7"/>
      <c r="D359" s="7"/>
      <c r="E359" s="7"/>
      <c r="F359" s="7"/>
      <c r="G359" s="7"/>
    </row>
    <row r="360" spans="1:7" ht="13" x14ac:dyDescent="0.15">
      <c r="A360" s="8"/>
      <c r="B360" s="7"/>
      <c r="C360" s="7"/>
      <c r="D360" s="7"/>
      <c r="E360" s="7"/>
      <c r="F360" s="7"/>
      <c r="G360" s="7"/>
    </row>
    <row r="361" spans="1:7" ht="13" x14ac:dyDescent="0.15">
      <c r="A361" s="8"/>
      <c r="B361" s="7"/>
      <c r="C361" s="7"/>
      <c r="D361" s="7"/>
      <c r="E361" s="7"/>
      <c r="F361" s="7"/>
      <c r="G361" s="7"/>
    </row>
    <row r="362" spans="1:7" ht="13" x14ac:dyDescent="0.15">
      <c r="A362" s="8"/>
      <c r="B362" s="7"/>
      <c r="C362" s="7"/>
      <c r="D362" s="7"/>
      <c r="E362" s="7"/>
      <c r="F362" s="7"/>
      <c r="G362" s="7"/>
    </row>
    <row r="363" spans="1:7" ht="13" x14ac:dyDescent="0.15">
      <c r="A363" s="8"/>
      <c r="B363" s="7"/>
      <c r="C363" s="7"/>
      <c r="D363" s="7"/>
      <c r="E363" s="7"/>
      <c r="F363" s="7"/>
      <c r="G363" s="7"/>
    </row>
    <row r="364" spans="1:7" ht="13" x14ac:dyDescent="0.15">
      <c r="A364" s="8"/>
      <c r="B364" s="7"/>
      <c r="C364" s="7"/>
      <c r="D364" s="7"/>
      <c r="E364" s="7"/>
      <c r="F364" s="7"/>
      <c r="G364" s="7"/>
    </row>
    <row r="365" spans="1:7" ht="13" x14ac:dyDescent="0.15">
      <c r="A365" s="8"/>
      <c r="B365" s="7"/>
      <c r="C365" s="7"/>
      <c r="D365" s="7"/>
      <c r="E365" s="7"/>
      <c r="F365" s="7"/>
      <c r="G365" s="7"/>
    </row>
    <row r="366" spans="1:7" ht="13" x14ac:dyDescent="0.15">
      <c r="A366" s="8"/>
      <c r="B366" s="7"/>
      <c r="C366" s="7"/>
      <c r="D366" s="7"/>
      <c r="E366" s="7"/>
      <c r="F366" s="7"/>
      <c r="G366" s="7"/>
    </row>
    <row r="367" spans="1:7" ht="13" x14ac:dyDescent="0.15">
      <c r="A367" s="8"/>
      <c r="B367" s="7"/>
      <c r="C367" s="7"/>
      <c r="D367" s="7"/>
      <c r="E367" s="7"/>
      <c r="F367" s="7"/>
      <c r="G367" s="7"/>
    </row>
    <row r="368" spans="1:7" ht="13" x14ac:dyDescent="0.15">
      <c r="A368" s="8"/>
      <c r="B368" s="7"/>
      <c r="C368" s="7"/>
      <c r="D368" s="7"/>
      <c r="E368" s="7"/>
      <c r="F368" s="7"/>
      <c r="G368" s="7"/>
    </row>
    <row r="369" spans="1:7" ht="13" x14ac:dyDescent="0.15">
      <c r="A369" s="8"/>
      <c r="B369" s="7"/>
      <c r="C369" s="7"/>
      <c r="D369" s="7"/>
      <c r="E369" s="7"/>
      <c r="F369" s="7"/>
      <c r="G369" s="7"/>
    </row>
    <row r="370" spans="1:7" ht="13" x14ac:dyDescent="0.15">
      <c r="A370" s="8"/>
      <c r="B370" s="7"/>
      <c r="C370" s="7"/>
      <c r="D370" s="7"/>
      <c r="E370" s="7"/>
      <c r="F370" s="7"/>
      <c r="G370" s="7"/>
    </row>
    <row r="371" spans="1:7" ht="13" x14ac:dyDescent="0.15">
      <c r="A371" s="8"/>
      <c r="B371" s="7"/>
      <c r="C371" s="7"/>
      <c r="D371" s="7"/>
      <c r="E371" s="7"/>
      <c r="F371" s="7"/>
      <c r="G371" s="7"/>
    </row>
    <row r="372" spans="1:7" ht="13" x14ac:dyDescent="0.15">
      <c r="A372" s="8"/>
      <c r="B372" s="7"/>
      <c r="C372" s="7"/>
      <c r="D372" s="7"/>
      <c r="E372" s="7"/>
      <c r="F372" s="7"/>
      <c r="G372" s="7"/>
    </row>
    <row r="373" spans="1:7" ht="13" x14ac:dyDescent="0.15">
      <c r="A373" s="8"/>
      <c r="B373" s="7"/>
      <c r="C373" s="7"/>
      <c r="D373" s="7"/>
      <c r="E373" s="7"/>
      <c r="F373" s="7"/>
      <c r="G373" s="7"/>
    </row>
    <row r="374" spans="1:7" ht="13" x14ac:dyDescent="0.15">
      <c r="A374" s="8"/>
      <c r="B374" s="7"/>
      <c r="C374" s="7"/>
      <c r="D374" s="7"/>
      <c r="E374" s="7"/>
      <c r="F374" s="7"/>
      <c r="G374" s="7"/>
    </row>
    <row r="375" spans="1:7" ht="13" x14ac:dyDescent="0.15">
      <c r="A375" s="8"/>
      <c r="B375" s="7"/>
      <c r="C375" s="7"/>
      <c r="D375" s="7"/>
      <c r="E375" s="7"/>
      <c r="F375" s="7"/>
      <c r="G375" s="7"/>
    </row>
    <row r="376" spans="1:7" ht="13" x14ac:dyDescent="0.15">
      <c r="A376" s="8"/>
      <c r="B376" s="7"/>
      <c r="C376" s="7"/>
      <c r="D376" s="7"/>
      <c r="E376" s="7"/>
      <c r="F376" s="7"/>
      <c r="G376" s="7"/>
    </row>
    <row r="377" spans="1:7" ht="13" x14ac:dyDescent="0.15">
      <c r="A377" s="8"/>
      <c r="B377" s="7"/>
      <c r="C377" s="7"/>
      <c r="D377" s="7"/>
      <c r="E377" s="7"/>
      <c r="F377" s="7"/>
      <c r="G377" s="7"/>
    </row>
    <row r="378" spans="1:7" ht="13" x14ac:dyDescent="0.15">
      <c r="A378" s="8"/>
      <c r="B378" s="7"/>
      <c r="C378" s="7"/>
      <c r="D378" s="7"/>
      <c r="E378" s="7"/>
      <c r="F378" s="7"/>
      <c r="G378" s="7"/>
    </row>
    <row r="379" spans="1:7" ht="13" x14ac:dyDescent="0.15">
      <c r="A379" s="8"/>
      <c r="B379" s="7"/>
      <c r="C379" s="7"/>
      <c r="D379" s="7"/>
      <c r="E379" s="7"/>
      <c r="F379" s="7"/>
      <c r="G379" s="7"/>
    </row>
    <row r="380" spans="1:7" ht="13" x14ac:dyDescent="0.15">
      <c r="A380" s="8"/>
      <c r="B380" s="7"/>
      <c r="C380" s="7"/>
      <c r="D380" s="7"/>
      <c r="E380" s="7"/>
      <c r="F380" s="7"/>
      <c r="G380" s="7"/>
    </row>
    <row r="381" spans="1:7" ht="13" x14ac:dyDescent="0.15">
      <c r="A381" s="8"/>
      <c r="B381" s="7"/>
      <c r="C381" s="7"/>
      <c r="D381" s="7"/>
      <c r="E381" s="7"/>
      <c r="F381" s="7"/>
      <c r="G381" s="7"/>
    </row>
    <row r="382" spans="1:7" ht="13" x14ac:dyDescent="0.15">
      <c r="A382" s="8"/>
      <c r="B382" s="7"/>
      <c r="C382" s="7"/>
      <c r="D382" s="7"/>
      <c r="E382" s="7"/>
      <c r="F382" s="7"/>
      <c r="G382" s="7"/>
    </row>
    <row r="383" spans="1:7" ht="13" x14ac:dyDescent="0.15">
      <c r="A383" s="8"/>
      <c r="B383" s="7"/>
      <c r="C383" s="7"/>
      <c r="D383" s="7"/>
      <c r="E383" s="7"/>
      <c r="F383" s="7"/>
      <c r="G383" s="7"/>
    </row>
    <row r="384" spans="1:7" ht="13" x14ac:dyDescent="0.15">
      <c r="A384" s="8"/>
      <c r="B384" s="7"/>
      <c r="C384" s="7"/>
      <c r="D384" s="7"/>
      <c r="E384" s="7"/>
      <c r="F384" s="7"/>
      <c r="G384" s="7"/>
    </row>
    <row r="385" spans="1:7" ht="13" x14ac:dyDescent="0.15">
      <c r="A385" s="8"/>
      <c r="B385" s="7"/>
      <c r="C385" s="7"/>
      <c r="D385" s="7"/>
      <c r="E385" s="7"/>
      <c r="F385" s="7"/>
      <c r="G385" s="7"/>
    </row>
    <row r="386" spans="1:7" ht="13" x14ac:dyDescent="0.15">
      <c r="A386" s="8"/>
      <c r="B386" s="7"/>
      <c r="C386" s="7"/>
      <c r="D386" s="7"/>
      <c r="E386" s="7"/>
      <c r="F386" s="7"/>
      <c r="G386" s="7"/>
    </row>
    <row r="387" spans="1:7" ht="13" x14ac:dyDescent="0.15">
      <c r="A387" s="8"/>
      <c r="B387" s="7"/>
      <c r="C387" s="7"/>
      <c r="D387" s="7"/>
      <c r="E387" s="7"/>
      <c r="F387" s="7"/>
      <c r="G387" s="7"/>
    </row>
    <row r="388" spans="1:7" ht="13" x14ac:dyDescent="0.15">
      <c r="A388" s="8"/>
      <c r="B388" s="7"/>
      <c r="C388" s="7"/>
      <c r="D388" s="7"/>
      <c r="E388" s="7"/>
      <c r="F388" s="7"/>
      <c r="G388" s="7"/>
    </row>
    <row r="389" spans="1:7" ht="13" x14ac:dyDescent="0.15">
      <c r="A389" s="8"/>
      <c r="B389" s="7"/>
      <c r="C389" s="7"/>
      <c r="D389" s="7"/>
      <c r="E389" s="7"/>
      <c r="F389" s="7"/>
      <c r="G389" s="7"/>
    </row>
    <row r="390" spans="1:7" ht="13" x14ac:dyDescent="0.15">
      <c r="A390" s="8"/>
      <c r="B390" s="7"/>
      <c r="C390" s="7"/>
      <c r="D390" s="7"/>
      <c r="E390" s="7"/>
      <c r="F390" s="7"/>
      <c r="G390" s="7"/>
    </row>
    <row r="391" spans="1:7" ht="13" x14ac:dyDescent="0.15">
      <c r="A391" s="8"/>
      <c r="B391" s="7"/>
      <c r="C391" s="7"/>
      <c r="D391" s="7"/>
      <c r="E391" s="7"/>
      <c r="F391" s="7"/>
      <c r="G391" s="7"/>
    </row>
    <row r="392" spans="1:7" ht="13" x14ac:dyDescent="0.15">
      <c r="A392" s="8"/>
      <c r="B392" s="7"/>
      <c r="C392" s="7"/>
      <c r="D392" s="7"/>
      <c r="E392" s="7"/>
      <c r="F392" s="7"/>
      <c r="G392" s="7"/>
    </row>
    <row r="393" spans="1:7" ht="13" x14ac:dyDescent="0.15">
      <c r="A393" s="8"/>
      <c r="B393" s="7"/>
      <c r="C393" s="7"/>
      <c r="D393" s="7"/>
      <c r="E393" s="7"/>
      <c r="F393" s="7"/>
      <c r="G393" s="7"/>
    </row>
    <row r="394" spans="1:7" ht="13" x14ac:dyDescent="0.15">
      <c r="A394" s="8"/>
      <c r="B394" s="7"/>
      <c r="C394" s="7"/>
      <c r="D394" s="7"/>
      <c r="E394" s="7"/>
      <c r="F394" s="7"/>
      <c r="G394" s="7"/>
    </row>
    <row r="395" spans="1:7" ht="13" x14ac:dyDescent="0.15">
      <c r="A395" s="8"/>
      <c r="B395" s="7"/>
      <c r="C395" s="7"/>
      <c r="D395" s="7"/>
      <c r="E395" s="7"/>
      <c r="F395" s="7"/>
      <c r="G395" s="7"/>
    </row>
    <row r="396" spans="1:7" ht="13" x14ac:dyDescent="0.15">
      <c r="A396" s="8"/>
      <c r="B396" s="7"/>
      <c r="C396" s="7"/>
      <c r="D396" s="7"/>
      <c r="E396" s="7"/>
      <c r="F396" s="7"/>
      <c r="G396" s="7"/>
    </row>
    <row r="397" spans="1:7" ht="13" x14ac:dyDescent="0.15">
      <c r="A397" s="8"/>
      <c r="B397" s="7"/>
      <c r="C397" s="7"/>
      <c r="D397" s="7"/>
      <c r="E397" s="7"/>
      <c r="F397" s="7"/>
      <c r="G397" s="7"/>
    </row>
    <row r="398" spans="1:7" ht="13" x14ac:dyDescent="0.15">
      <c r="A398" s="8"/>
      <c r="B398" s="7"/>
      <c r="C398" s="7"/>
      <c r="D398" s="7"/>
      <c r="E398" s="7"/>
      <c r="F398" s="7"/>
      <c r="G398" s="7"/>
    </row>
    <row r="399" spans="1:7" ht="13" x14ac:dyDescent="0.15">
      <c r="A399" s="8"/>
      <c r="B399" s="7"/>
      <c r="C399" s="7"/>
      <c r="D399" s="7"/>
      <c r="E399" s="7"/>
      <c r="F399" s="7"/>
      <c r="G399" s="7"/>
    </row>
    <row r="400" spans="1:7" ht="13" x14ac:dyDescent="0.15">
      <c r="A400" s="8"/>
      <c r="B400" s="7"/>
      <c r="C400" s="7"/>
      <c r="D400" s="7"/>
      <c r="E400" s="7"/>
      <c r="F400" s="7"/>
      <c r="G400" s="7"/>
    </row>
    <row r="401" spans="1:7" ht="13" x14ac:dyDescent="0.15">
      <c r="A401" s="8"/>
      <c r="B401" s="7"/>
      <c r="C401" s="7"/>
      <c r="D401" s="7"/>
      <c r="E401" s="7"/>
      <c r="F401" s="7"/>
      <c r="G401" s="7"/>
    </row>
    <row r="402" spans="1:7" ht="13" x14ac:dyDescent="0.15">
      <c r="A402" s="8"/>
      <c r="B402" s="7"/>
      <c r="C402" s="7"/>
      <c r="D402" s="7"/>
      <c r="E402" s="7"/>
      <c r="F402" s="7"/>
      <c r="G402" s="7"/>
    </row>
    <row r="403" spans="1:7" ht="13" x14ac:dyDescent="0.15">
      <c r="A403" s="8"/>
      <c r="B403" s="7"/>
      <c r="C403" s="7"/>
      <c r="D403" s="7"/>
      <c r="E403" s="7"/>
      <c r="F403" s="7"/>
      <c r="G403" s="7"/>
    </row>
    <row r="404" spans="1:7" ht="13" x14ac:dyDescent="0.15">
      <c r="A404" s="8"/>
      <c r="B404" s="7"/>
      <c r="C404" s="7"/>
      <c r="D404" s="7"/>
      <c r="E404" s="7"/>
      <c r="F404" s="7"/>
      <c r="G404" s="7"/>
    </row>
    <row r="405" spans="1:7" ht="13" x14ac:dyDescent="0.15">
      <c r="A405" s="8"/>
      <c r="B405" s="7"/>
      <c r="C405" s="7"/>
      <c r="D405" s="7"/>
      <c r="E405" s="7"/>
      <c r="F405" s="7"/>
      <c r="G405" s="7"/>
    </row>
    <row r="406" spans="1:7" ht="13" x14ac:dyDescent="0.15">
      <c r="A406" s="8"/>
      <c r="B406" s="7"/>
      <c r="C406" s="7"/>
      <c r="D406" s="7"/>
      <c r="E406" s="7"/>
      <c r="F406" s="7"/>
      <c r="G406" s="7"/>
    </row>
    <row r="407" spans="1:7" ht="13" x14ac:dyDescent="0.15">
      <c r="A407" s="8"/>
      <c r="B407" s="7"/>
      <c r="C407" s="7"/>
      <c r="D407" s="7"/>
      <c r="E407" s="7"/>
      <c r="F407" s="7"/>
      <c r="G407" s="7"/>
    </row>
    <row r="408" spans="1:7" ht="13" x14ac:dyDescent="0.15">
      <c r="A408" s="8"/>
      <c r="B408" s="7"/>
      <c r="C408" s="7"/>
      <c r="D408" s="7"/>
      <c r="E408" s="7"/>
      <c r="F408" s="7"/>
      <c r="G408" s="7"/>
    </row>
    <row r="409" spans="1:7" ht="13" x14ac:dyDescent="0.15">
      <c r="A409" s="8"/>
      <c r="B409" s="7"/>
      <c r="C409" s="7"/>
      <c r="D409" s="7"/>
      <c r="E409" s="7"/>
      <c r="F409" s="7"/>
      <c r="G409" s="7"/>
    </row>
    <row r="410" spans="1:7" ht="13" x14ac:dyDescent="0.15">
      <c r="A410" s="8"/>
      <c r="B410" s="7"/>
      <c r="C410" s="7"/>
      <c r="D410" s="7"/>
      <c r="E410" s="7"/>
      <c r="F410" s="7"/>
      <c r="G410" s="7"/>
    </row>
    <row r="411" spans="1:7" ht="13" x14ac:dyDescent="0.15">
      <c r="A411" s="8"/>
      <c r="B411" s="7"/>
      <c r="C411" s="7"/>
      <c r="D411" s="7"/>
      <c r="E411" s="7"/>
      <c r="F411" s="7"/>
      <c r="G411" s="7"/>
    </row>
    <row r="412" spans="1:7" ht="13" x14ac:dyDescent="0.15">
      <c r="A412" s="8"/>
      <c r="B412" s="7"/>
      <c r="C412" s="7"/>
      <c r="D412" s="7"/>
      <c r="E412" s="7"/>
      <c r="F412" s="7"/>
      <c r="G412" s="7"/>
    </row>
    <row r="413" spans="1:7" ht="13" x14ac:dyDescent="0.15">
      <c r="A413" s="8"/>
      <c r="B413" s="7"/>
      <c r="C413" s="7"/>
      <c r="D413" s="7"/>
      <c r="E413" s="7"/>
      <c r="F413" s="7"/>
      <c r="G413" s="7"/>
    </row>
    <row r="414" spans="1:7" ht="13" x14ac:dyDescent="0.15">
      <c r="A414" s="8"/>
      <c r="B414" s="7"/>
      <c r="C414" s="7"/>
      <c r="D414" s="7"/>
      <c r="E414" s="7"/>
      <c r="F414" s="7"/>
      <c r="G414" s="7"/>
    </row>
    <row r="415" spans="1:7" ht="13" x14ac:dyDescent="0.15">
      <c r="A415" s="8"/>
      <c r="B415" s="7"/>
      <c r="C415" s="7"/>
      <c r="D415" s="7"/>
      <c r="E415" s="7"/>
      <c r="F415" s="7"/>
      <c r="G415" s="7"/>
    </row>
    <row r="416" spans="1:7" ht="13" x14ac:dyDescent="0.15">
      <c r="A416" s="8"/>
      <c r="B416" s="7"/>
      <c r="C416" s="7"/>
      <c r="D416" s="7"/>
      <c r="E416" s="7"/>
      <c r="F416" s="7"/>
      <c r="G416" s="7"/>
    </row>
    <row r="417" spans="1:7" ht="13" x14ac:dyDescent="0.15">
      <c r="A417" s="8"/>
      <c r="B417" s="7"/>
      <c r="C417" s="7"/>
      <c r="D417" s="7"/>
      <c r="E417" s="7"/>
      <c r="F417" s="7"/>
      <c r="G417" s="7"/>
    </row>
    <row r="418" spans="1:7" ht="13" x14ac:dyDescent="0.15">
      <c r="A418" s="8"/>
      <c r="B418" s="7"/>
      <c r="C418" s="7"/>
      <c r="D418" s="7"/>
      <c r="E418" s="7"/>
      <c r="F418" s="7"/>
      <c r="G418" s="7"/>
    </row>
    <row r="419" spans="1:7" ht="13" x14ac:dyDescent="0.15">
      <c r="A419" s="8"/>
      <c r="B419" s="7"/>
      <c r="C419" s="7"/>
      <c r="D419" s="7"/>
      <c r="E419" s="7"/>
      <c r="F419" s="7"/>
      <c r="G419" s="7"/>
    </row>
    <row r="420" spans="1:7" ht="13" x14ac:dyDescent="0.15">
      <c r="A420" s="8"/>
      <c r="B420" s="7"/>
      <c r="C420" s="7"/>
      <c r="D420" s="7"/>
      <c r="E420" s="7"/>
      <c r="F420" s="7"/>
      <c r="G420" s="7"/>
    </row>
    <row r="421" spans="1:7" ht="13" x14ac:dyDescent="0.15">
      <c r="A421" s="8"/>
      <c r="B421" s="7"/>
      <c r="C421" s="7"/>
      <c r="D421" s="7"/>
      <c r="E421" s="7"/>
      <c r="F421" s="7"/>
      <c r="G421" s="7"/>
    </row>
    <row r="422" spans="1:7" ht="13" x14ac:dyDescent="0.15">
      <c r="A422" s="8"/>
      <c r="B422" s="7"/>
      <c r="C422" s="7"/>
      <c r="D422" s="7"/>
      <c r="E422" s="7"/>
      <c r="F422" s="7"/>
      <c r="G422" s="7"/>
    </row>
    <row r="423" spans="1:7" ht="13" x14ac:dyDescent="0.15">
      <c r="A423" s="8"/>
      <c r="B423" s="7"/>
      <c r="C423" s="7"/>
      <c r="D423" s="7"/>
      <c r="E423" s="7"/>
      <c r="F423" s="7"/>
      <c r="G423" s="7"/>
    </row>
    <row r="424" spans="1:7" ht="13" x14ac:dyDescent="0.15">
      <c r="A424" s="8"/>
      <c r="B424" s="7"/>
      <c r="C424" s="7"/>
      <c r="D424" s="7"/>
      <c r="E424" s="7"/>
      <c r="F424" s="7"/>
      <c r="G424" s="7"/>
    </row>
    <row r="425" spans="1:7" ht="13" x14ac:dyDescent="0.15">
      <c r="A425" s="8"/>
      <c r="B425" s="7"/>
      <c r="C425" s="7"/>
      <c r="D425" s="7"/>
      <c r="E425" s="7"/>
      <c r="F425" s="7"/>
      <c r="G425" s="7"/>
    </row>
    <row r="426" spans="1:7" ht="13" x14ac:dyDescent="0.15">
      <c r="A426" s="8"/>
      <c r="B426" s="7"/>
      <c r="C426" s="7"/>
      <c r="D426" s="7"/>
      <c r="E426" s="7"/>
      <c r="F426" s="7"/>
      <c r="G426" s="7"/>
    </row>
    <row r="427" spans="1:7" ht="13" x14ac:dyDescent="0.15">
      <c r="A427" s="8"/>
      <c r="B427" s="7"/>
      <c r="C427" s="7"/>
      <c r="D427" s="7"/>
      <c r="E427" s="7"/>
      <c r="F427" s="7"/>
      <c r="G427" s="7"/>
    </row>
    <row r="428" spans="1:7" ht="13" x14ac:dyDescent="0.15">
      <c r="A428" s="8"/>
      <c r="B428" s="7"/>
      <c r="C428" s="7"/>
      <c r="D428" s="7"/>
      <c r="E428" s="7"/>
      <c r="F428" s="7"/>
      <c r="G428" s="7"/>
    </row>
    <row r="429" spans="1:7" ht="13" x14ac:dyDescent="0.15">
      <c r="A429" s="8"/>
      <c r="B429" s="7"/>
      <c r="C429" s="7"/>
      <c r="D429" s="7"/>
      <c r="E429" s="7"/>
      <c r="F429" s="7"/>
      <c r="G429" s="7"/>
    </row>
    <row r="430" spans="1:7" ht="13" x14ac:dyDescent="0.15">
      <c r="A430" s="8"/>
      <c r="B430" s="7"/>
      <c r="C430" s="7"/>
      <c r="D430" s="7"/>
      <c r="E430" s="7"/>
      <c r="F430" s="7"/>
      <c r="G430" s="7"/>
    </row>
    <row r="431" spans="1:7" ht="13" x14ac:dyDescent="0.15">
      <c r="A431" s="8"/>
      <c r="B431" s="7"/>
      <c r="C431" s="7"/>
      <c r="D431" s="7"/>
      <c r="E431" s="7"/>
      <c r="F431" s="7"/>
      <c r="G431" s="7"/>
    </row>
    <row r="432" spans="1:7" ht="13" x14ac:dyDescent="0.15">
      <c r="A432" s="8"/>
      <c r="B432" s="7"/>
      <c r="C432" s="7"/>
      <c r="D432" s="7"/>
      <c r="E432" s="7"/>
      <c r="F432" s="7"/>
      <c r="G432" s="7"/>
    </row>
    <row r="433" spans="1:7" ht="13" x14ac:dyDescent="0.15">
      <c r="A433" s="8"/>
      <c r="B433" s="7"/>
      <c r="C433" s="7"/>
      <c r="D433" s="7"/>
      <c r="E433" s="7"/>
      <c r="F433" s="7"/>
      <c r="G433" s="7"/>
    </row>
    <row r="434" spans="1:7" ht="13" x14ac:dyDescent="0.15">
      <c r="A434" s="8"/>
      <c r="B434" s="7"/>
      <c r="C434" s="7"/>
      <c r="D434" s="7"/>
      <c r="E434" s="7"/>
      <c r="F434" s="7"/>
      <c r="G434" s="7"/>
    </row>
    <row r="435" spans="1:7" ht="13" x14ac:dyDescent="0.15">
      <c r="A435" s="8"/>
      <c r="B435" s="7"/>
      <c r="C435" s="7"/>
      <c r="D435" s="7"/>
      <c r="E435" s="7"/>
      <c r="F435" s="7"/>
      <c r="G435" s="7"/>
    </row>
    <row r="436" spans="1:7" ht="13" x14ac:dyDescent="0.15">
      <c r="A436" s="8"/>
      <c r="B436" s="7"/>
      <c r="C436" s="7"/>
      <c r="D436" s="7"/>
      <c r="E436" s="7"/>
      <c r="F436" s="7"/>
      <c r="G436" s="7"/>
    </row>
    <row r="437" spans="1:7" ht="13" x14ac:dyDescent="0.15">
      <c r="A437" s="8"/>
      <c r="B437" s="7"/>
      <c r="C437" s="7"/>
      <c r="D437" s="7"/>
      <c r="E437" s="7"/>
      <c r="F437" s="7"/>
      <c r="G437" s="7"/>
    </row>
    <row r="438" spans="1:7" ht="13" x14ac:dyDescent="0.15">
      <c r="A438" s="8"/>
      <c r="B438" s="7"/>
      <c r="C438" s="7"/>
      <c r="D438" s="7"/>
      <c r="E438" s="7"/>
      <c r="F438" s="7"/>
      <c r="G438" s="7"/>
    </row>
    <row r="439" spans="1:7" ht="13" x14ac:dyDescent="0.15">
      <c r="A439" s="8"/>
      <c r="B439" s="7"/>
      <c r="C439" s="7"/>
      <c r="D439" s="7"/>
      <c r="E439" s="7"/>
      <c r="F439" s="7"/>
      <c r="G439" s="7"/>
    </row>
    <row r="440" spans="1:7" ht="13" x14ac:dyDescent="0.15">
      <c r="A440" s="8"/>
      <c r="B440" s="7"/>
      <c r="C440" s="7"/>
      <c r="D440" s="7"/>
      <c r="E440" s="7"/>
      <c r="F440" s="7"/>
      <c r="G440" s="7"/>
    </row>
    <row r="441" spans="1:7" ht="13" x14ac:dyDescent="0.15">
      <c r="A441" s="8"/>
      <c r="B441" s="7"/>
      <c r="C441" s="7"/>
      <c r="D441" s="7"/>
      <c r="E441" s="7"/>
      <c r="F441" s="7"/>
      <c r="G441" s="7"/>
    </row>
    <row r="442" spans="1:7" ht="13" x14ac:dyDescent="0.15">
      <c r="A442" s="8"/>
      <c r="B442" s="7"/>
      <c r="C442" s="7"/>
      <c r="D442" s="7"/>
      <c r="E442" s="7"/>
      <c r="F442" s="7"/>
      <c r="G442" s="7"/>
    </row>
    <row r="443" spans="1:7" ht="13" x14ac:dyDescent="0.15">
      <c r="A443" s="8"/>
      <c r="B443" s="7"/>
      <c r="C443" s="7"/>
      <c r="D443" s="7"/>
      <c r="E443" s="7"/>
      <c r="F443" s="7"/>
      <c r="G443" s="7"/>
    </row>
    <row r="444" spans="1:7" ht="13" x14ac:dyDescent="0.15">
      <c r="A444" s="8"/>
      <c r="B444" s="7"/>
      <c r="C444" s="7"/>
      <c r="D444" s="7"/>
      <c r="E444" s="7"/>
      <c r="F444" s="7"/>
      <c r="G444" s="7"/>
    </row>
    <row r="445" spans="1:7" ht="13" x14ac:dyDescent="0.15">
      <c r="A445" s="8"/>
      <c r="B445" s="7"/>
      <c r="C445" s="7"/>
      <c r="D445" s="7"/>
      <c r="E445" s="7"/>
      <c r="F445" s="7"/>
      <c r="G445" s="7"/>
    </row>
    <row r="446" spans="1:7" ht="13" x14ac:dyDescent="0.15">
      <c r="A446" s="8"/>
      <c r="B446" s="7"/>
      <c r="C446" s="7"/>
      <c r="D446" s="7"/>
      <c r="E446" s="7"/>
      <c r="F446" s="7"/>
      <c r="G446" s="7"/>
    </row>
    <row r="447" spans="1:7" ht="13" x14ac:dyDescent="0.15">
      <c r="A447" s="8"/>
      <c r="B447" s="7"/>
      <c r="C447" s="7"/>
      <c r="D447" s="7"/>
      <c r="E447" s="7"/>
      <c r="F447" s="7"/>
      <c r="G447" s="7"/>
    </row>
    <row r="448" spans="1:7" ht="13" x14ac:dyDescent="0.15">
      <c r="A448" s="8"/>
      <c r="B448" s="7"/>
      <c r="C448" s="7"/>
      <c r="D448" s="7"/>
      <c r="E448" s="7"/>
      <c r="F448" s="7"/>
      <c r="G448" s="7"/>
    </row>
    <row r="449" spans="1:7" ht="13" x14ac:dyDescent="0.15">
      <c r="A449" s="8"/>
      <c r="B449" s="7"/>
      <c r="C449" s="7"/>
      <c r="D449" s="7"/>
      <c r="E449" s="7"/>
      <c r="F449" s="7"/>
      <c r="G449" s="7"/>
    </row>
    <row r="450" spans="1:7" ht="13" x14ac:dyDescent="0.15">
      <c r="A450" s="8"/>
      <c r="B450" s="7"/>
      <c r="C450" s="7"/>
      <c r="D450" s="7"/>
      <c r="E450" s="7"/>
      <c r="F450" s="7"/>
      <c r="G450" s="7"/>
    </row>
    <row r="451" spans="1:7" ht="13" x14ac:dyDescent="0.15">
      <c r="A451" s="8"/>
      <c r="B451" s="7"/>
      <c r="C451" s="7"/>
      <c r="D451" s="7"/>
      <c r="E451" s="7"/>
      <c r="F451" s="7"/>
      <c r="G451" s="7"/>
    </row>
    <row r="452" spans="1:7" ht="13" x14ac:dyDescent="0.15">
      <c r="A452" s="8"/>
      <c r="B452" s="7"/>
      <c r="C452" s="7"/>
      <c r="D452" s="7"/>
      <c r="E452" s="7"/>
      <c r="F452" s="7"/>
      <c r="G452" s="7"/>
    </row>
    <row r="453" spans="1:7" ht="13" x14ac:dyDescent="0.15">
      <c r="A453" s="8"/>
      <c r="B453" s="7"/>
      <c r="C453" s="7"/>
      <c r="D453" s="7"/>
      <c r="E453" s="7"/>
      <c r="F453" s="7"/>
      <c r="G453" s="7"/>
    </row>
    <row r="454" spans="1:7" ht="13" x14ac:dyDescent="0.15">
      <c r="A454" s="8"/>
      <c r="B454" s="7"/>
      <c r="C454" s="7"/>
      <c r="D454" s="7"/>
      <c r="E454" s="7"/>
      <c r="F454" s="7"/>
      <c r="G454" s="7"/>
    </row>
    <row r="455" spans="1:7" ht="13" x14ac:dyDescent="0.15">
      <c r="A455" s="8"/>
      <c r="B455" s="7"/>
      <c r="C455" s="7"/>
      <c r="D455" s="7"/>
      <c r="E455" s="7"/>
      <c r="F455" s="7"/>
      <c r="G455" s="7"/>
    </row>
    <row r="456" spans="1:7" ht="13" x14ac:dyDescent="0.15">
      <c r="A456" s="8"/>
      <c r="B456" s="7"/>
      <c r="C456" s="7"/>
      <c r="D456" s="7"/>
      <c r="E456" s="7"/>
      <c r="F456" s="7"/>
      <c r="G456" s="7"/>
    </row>
    <row r="457" spans="1:7" ht="13" x14ac:dyDescent="0.15">
      <c r="A457" s="8"/>
      <c r="B457" s="7"/>
      <c r="C457" s="7"/>
      <c r="D457" s="7"/>
      <c r="E457" s="7"/>
      <c r="F457" s="7"/>
      <c r="G457" s="7"/>
    </row>
    <row r="458" spans="1:7" ht="13" x14ac:dyDescent="0.15">
      <c r="A458" s="8"/>
      <c r="B458" s="7"/>
      <c r="C458" s="7"/>
      <c r="D458" s="7"/>
      <c r="E458" s="7"/>
      <c r="F458" s="7"/>
      <c r="G458" s="7"/>
    </row>
    <row r="459" spans="1:7" ht="13" x14ac:dyDescent="0.15">
      <c r="A459" s="8"/>
      <c r="B459" s="7"/>
      <c r="C459" s="7"/>
      <c r="D459" s="7"/>
      <c r="E459" s="7"/>
      <c r="F459" s="7"/>
      <c r="G459" s="7"/>
    </row>
    <row r="460" spans="1:7" ht="13" x14ac:dyDescent="0.15">
      <c r="A460" s="8"/>
      <c r="B460" s="7"/>
      <c r="C460" s="7"/>
      <c r="D460" s="7"/>
      <c r="E460" s="7"/>
      <c r="F460" s="7"/>
      <c r="G460" s="7"/>
    </row>
    <row r="461" spans="1:7" ht="13" x14ac:dyDescent="0.15">
      <c r="A461" s="8"/>
      <c r="B461" s="7"/>
      <c r="C461" s="7"/>
      <c r="D461" s="7"/>
      <c r="E461" s="7"/>
      <c r="F461" s="7"/>
      <c r="G461" s="7"/>
    </row>
    <row r="462" spans="1:7" ht="13" x14ac:dyDescent="0.15">
      <c r="A462" s="8"/>
      <c r="B462" s="7"/>
      <c r="C462" s="7"/>
      <c r="D462" s="7"/>
      <c r="E462" s="7"/>
      <c r="F462" s="7"/>
      <c r="G462" s="7"/>
    </row>
    <row r="463" spans="1:7" ht="13" x14ac:dyDescent="0.15">
      <c r="A463" s="8"/>
      <c r="B463" s="7"/>
      <c r="C463" s="7"/>
      <c r="D463" s="7"/>
      <c r="E463" s="7"/>
      <c r="F463" s="7"/>
      <c r="G463" s="7"/>
    </row>
    <row r="464" spans="1:7" ht="13" x14ac:dyDescent="0.15">
      <c r="A464" s="8"/>
      <c r="B464" s="7"/>
      <c r="C464" s="7"/>
      <c r="D464" s="7"/>
      <c r="E464" s="7"/>
      <c r="F464" s="7"/>
      <c r="G464" s="7"/>
    </row>
    <row r="465" spans="1:7" ht="13" x14ac:dyDescent="0.15">
      <c r="A465" s="8"/>
      <c r="B465" s="7"/>
      <c r="C465" s="7"/>
      <c r="D465" s="7"/>
      <c r="E465" s="7"/>
      <c r="F465" s="7"/>
      <c r="G465" s="7"/>
    </row>
    <row r="466" spans="1:7" ht="13" x14ac:dyDescent="0.15">
      <c r="A466" s="8"/>
      <c r="B466" s="7"/>
      <c r="C466" s="7"/>
      <c r="D466" s="7"/>
      <c r="E466" s="7"/>
      <c r="F466" s="7"/>
      <c r="G466" s="7"/>
    </row>
    <row r="467" spans="1:7" ht="13" x14ac:dyDescent="0.15">
      <c r="A467" s="8"/>
      <c r="B467" s="7"/>
      <c r="C467" s="7"/>
      <c r="D467" s="7"/>
      <c r="E467" s="7"/>
      <c r="F467" s="7"/>
      <c r="G467" s="7"/>
    </row>
    <row r="468" spans="1:7" ht="13" x14ac:dyDescent="0.15">
      <c r="A468" s="8"/>
      <c r="B468" s="7"/>
      <c r="C468" s="7"/>
      <c r="D468" s="7"/>
      <c r="E468" s="7"/>
      <c r="F468" s="7"/>
      <c r="G468" s="7"/>
    </row>
    <row r="469" spans="1:7" ht="13" x14ac:dyDescent="0.15">
      <c r="A469" s="8"/>
      <c r="B469" s="7"/>
      <c r="C469" s="7"/>
      <c r="D469" s="7"/>
      <c r="E469" s="7"/>
      <c r="F469" s="7"/>
      <c r="G469" s="7"/>
    </row>
    <row r="470" spans="1:7" ht="13" x14ac:dyDescent="0.15">
      <c r="A470" s="8"/>
      <c r="B470" s="7"/>
      <c r="C470" s="7"/>
      <c r="D470" s="7"/>
      <c r="E470" s="7"/>
      <c r="F470" s="7"/>
      <c r="G470" s="7"/>
    </row>
    <row r="471" spans="1:7" ht="13" x14ac:dyDescent="0.15">
      <c r="A471" s="8"/>
      <c r="B471" s="7"/>
      <c r="C471" s="7"/>
      <c r="D471" s="7"/>
      <c r="E471" s="7"/>
      <c r="F471" s="7"/>
      <c r="G471" s="7"/>
    </row>
    <row r="472" spans="1:7" ht="13" x14ac:dyDescent="0.15">
      <c r="A472" s="8"/>
      <c r="B472" s="7"/>
      <c r="C472" s="7"/>
      <c r="D472" s="7"/>
      <c r="E472" s="7"/>
      <c r="F472" s="7"/>
      <c r="G472" s="7"/>
    </row>
    <row r="473" spans="1:7" ht="13" x14ac:dyDescent="0.15">
      <c r="A473" s="8"/>
      <c r="B473" s="7"/>
      <c r="C473" s="7"/>
      <c r="D473" s="7"/>
      <c r="E473" s="7"/>
      <c r="F473" s="7"/>
      <c r="G473" s="7"/>
    </row>
    <row r="474" spans="1:7" ht="13" x14ac:dyDescent="0.15">
      <c r="A474" s="8"/>
      <c r="B474" s="7"/>
      <c r="C474" s="7"/>
      <c r="D474" s="7"/>
      <c r="E474" s="7"/>
      <c r="F474" s="7"/>
      <c r="G474" s="7"/>
    </row>
    <row r="475" spans="1:7" ht="13" x14ac:dyDescent="0.15">
      <c r="A475" s="8"/>
      <c r="B475" s="7"/>
      <c r="C475" s="7"/>
      <c r="D475" s="7"/>
      <c r="E475" s="7"/>
      <c r="F475" s="7"/>
      <c r="G475" s="7"/>
    </row>
    <row r="476" spans="1:7" ht="13" x14ac:dyDescent="0.15">
      <c r="A476" s="8"/>
      <c r="B476" s="7"/>
      <c r="C476" s="7"/>
      <c r="D476" s="7"/>
      <c r="E476" s="7"/>
      <c r="F476" s="7"/>
      <c r="G476" s="7"/>
    </row>
    <row r="477" spans="1:7" ht="13" x14ac:dyDescent="0.15">
      <c r="A477" s="8"/>
      <c r="B477" s="7"/>
      <c r="C477" s="7"/>
      <c r="D477" s="7"/>
      <c r="E477" s="7"/>
      <c r="F477" s="7"/>
      <c r="G477" s="7"/>
    </row>
    <row r="478" spans="1:7" ht="13" x14ac:dyDescent="0.15">
      <c r="A478" s="8"/>
      <c r="B478" s="7"/>
      <c r="C478" s="7"/>
      <c r="D478" s="7"/>
      <c r="E478" s="7"/>
      <c r="F478" s="7"/>
      <c r="G478" s="7"/>
    </row>
    <row r="479" spans="1:7" ht="13" x14ac:dyDescent="0.15">
      <c r="A479" s="8"/>
      <c r="B479" s="7"/>
      <c r="C479" s="7"/>
      <c r="D479" s="7"/>
      <c r="E479" s="7"/>
      <c r="F479" s="7"/>
      <c r="G479" s="7"/>
    </row>
    <row r="480" spans="1:7" ht="13" x14ac:dyDescent="0.15">
      <c r="A480" s="8"/>
      <c r="B480" s="7"/>
      <c r="C480" s="7"/>
      <c r="D480" s="7"/>
      <c r="E480" s="7"/>
      <c r="F480" s="7"/>
      <c r="G480" s="7"/>
    </row>
    <row r="481" spans="1:7" ht="13" x14ac:dyDescent="0.15">
      <c r="A481" s="8"/>
      <c r="B481" s="7"/>
      <c r="C481" s="7"/>
      <c r="D481" s="7"/>
      <c r="E481" s="7"/>
      <c r="F481" s="7"/>
      <c r="G481" s="7"/>
    </row>
    <row r="482" spans="1:7" ht="13" x14ac:dyDescent="0.15">
      <c r="A482" s="8"/>
      <c r="B482" s="7"/>
      <c r="C482" s="7"/>
      <c r="D482" s="7"/>
      <c r="E482" s="7"/>
      <c r="F482" s="7"/>
      <c r="G482" s="7"/>
    </row>
    <row r="483" spans="1:7" ht="13" x14ac:dyDescent="0.15">
      <c r="A483" s="8"/>
      <c r="B483" s="7"/>
      <c r="C483" s="7"/>
      <c r="D483" s="7"/>
      <c r="E483" s="7"/>
      <c r="F483" s="7"/>
      <c r="G483" s="7"/>
    </row>
    <row r="484" spans="1:7" ht="13" x14ac:dyDescent="0.15">
      <c r="A484" s="8"/>
      <c r="B484" s="7"/>
      <c r="C484" s="7"/>
      <c r="D484" s="7"/>
      <c r="E484" s="7"/>
      <c r="F484" s="7"/>
      <c r="G484" s="7"/>
    </row>
    <row r="485" spans="1:7" ht="13" x14ac:dyDescent="0.15">
      <c r="A485" s="8"/>
      <c r="B485" s="7"/>
      <c r="C485" s="7"/>
      <c r="D485" s="7"/>
      <c r="E485" s="7"/>
      <c r="F485" s="7"/>
      <c r="G485" s="7"/>
    </row>
    <row r="486" spans="1:7" ht="13" x14ac:dyDescent="0.15">
      <c r="A486" s="8"/>
      <c r="B486" s="7"/>
      <c r="C486" s="7"/>
      <c r="D486" s="7"/>
      <c r="E486" s="7"/>
      <c r="F486" s="7"/>
      <c r="G486" s="7"/>
    </row>
    <row r="487" spans="1:7" ht="13" x14ac:dyDescent="0.15">
      <c r="A487" s="8"/>
      <c r="B487" s="7"/>
      <c r="C487" s="7"/>
      <c r="D487" s="7"/>
      <c r="E487" s="7"/>
      <c r="F487" s="7"/>
      <c r="G487" s="7"/>
    </row>
    <row r="488" spans="1:7" ht="13" x14ac:dyDescent="0.15">
      <c r="A488" s="8"/>
      <c r="B488" s="7"/>
      <c r="C488" s="7"/>
      <c r="D488" s="7"/>
      <c r="E488" s="7"/>
      <c r="F488" s="7"/>
      <c r="G488" s="7"/>
    </row>
    <row r="489" spans="1:7" ht="13" x14ac:dyDescent="0.15">
      <c r="A489" s="8"/>
      <c r="B489" s="7"/>
      <c r="C489" s="7"/>
      <c r="D489" s="7"/>
      <c r="E489" s="7"/>
      <c r="F489" s="7"/>
      <c r="G489" s="7"/>
    </row>
    <row r="490" spans="1:7" ht="13" x14ac:dyDescent="0.15">
      <c r="A490" s="8"/>
      <c r="B490" s="7"/>
      <c r="C490" s="7"/>
      <c r="D490" s="7"/>
      <c r="E490" s="7"/>
      <c r="F490" s="7"/>
      <c r="G490" s="7"/>
    </row>
    <row r="491" spans="1:7" ht="13" x14ac:dyDescent="0.15">
      <c r="A491" s="8"/>
      <c r="B491" s="7"/>
      <c r="C491" s="7"/>
      <c r="D491" s="7"/>
      <c r="E491" s="7"/>
      <c r="F491" s="7"/>
      <c r="G491" s="7"/>
    </row>
    <row r="492" spans="1:7" ht="13" x14ac:dyDescent="0.15">
      <c r="A492" s="8"/>
      <c r="B492" s="7"/>
      <c r="C492" s="7"/>
      <c r="D492" s="7"/>
      <c r="E492" s="7"/>
      <c r="F492" s="7"/>
      <c r="G492" s="7"/>
    </row>
    <row r="493" spans="1:7" ht="13" x14ac:dyDescent="0.15">
      <c r="A493" s="8"/>
      <c r="B493" s="7"/>
      <c r="C493" s="7"/>
      <c r="D493" s="7"/>
      <c r="E493" s="7"/>
      <c r="F493" s="7"/>
      <c r="G493" s="7"/>
    </row>
    <row r="494" spans="1:7" ht="13" x14ac:dyDescent="0.15">
      <c r="A494" s="8"/>
      <c r="B494" s="7"/>
      <c r="C494" s="7"/>
      <c r="D494" s="7"/>
      <c r="E494" s="7"/>
      <c r="F494" s="7"/>
      <c r="G494" s="7"/>
    </row>
    <row r="495" spans="1:7" ht="13" x14ac:dyDescent="0.15">
      <c r="A495" s="8"/>
      <c r="B495" s="7"/>
      <c r="C495" s="7"/>
      <c r="D495" s="7"/>
      <c r="E495" s="7"/>
      <c r="F495" s="7"/>
      <c r="G495" s="7"/>
    </row>
    <row r="496" spans="1:7" ht="13" x14ac:dyDescent="0.15">
      <c r="A496" s="8"/>
      <c r="B496" s="7"/>
      <c r="C496" s="7"/>
      <c r="D496" s="7"/>
      <c r="E496" s="7"/>
      <c r="F496" s="7"/>
      <c r="G496" s="7"/>
    </row>
    <row r="497" spans="1:7" ht="13" x14ac:dyDescent="0.15">
      <c r="A497" s="8"/>
      <c r="B497" s="7"/>
      <c r="C497" s="7"/>
      <c r="D497" s="7"/>
      <c r="E497" s="7"/>
      <c r="F497" s="7"/>
      <c r="G497" s="7"/>
    </row>
    <row r="498" spans="1:7" ht="13" x14ac:dyDescent="0.15">
      <c r="A498" s="8"/>
      <c r="B498" s="7"/>
      <c r="C498" s="7"/>
      <c r="D498" s="7"/>
      <c r="E498" s="7"/>
      <c r="F498" s="7"/>
      <c r="G498" s="7"/>
    </row>
    <row r="499" spans="1:7" ht="13" x14ac:dyDescent="0.15">
      <c r="A499" s="8"/>
      <c r="B499" s="7"/>
      <c r="C499" s="7"/>
      <c r="D499" s="7"/>
      <c r="E499" s="7"/>
      <c r="F499" s="7"/>
      <c r="G499" s="7"/>
    </row>
    <row r="500" spans="1:7" ht="13" x14ac:dyDescent="0.15">
      <c r="A500" s="8"/>
      <c r="B500" s="7"/>
      <c r="C500" s="7"/>
      <c r="D500" s="7"/>
      <c r="E500" s="7"/>
      <c r="F500" s="7"/>
      <c r="G500" s="7"/>
    </row>
    <row r="501" spans="1:7" ht="13" x14ac:dyDescent="0.15">
      <c r="A501" s="8"/>
      <c r="B501" s="7"/>
      <c r="C501" s="7"/>
      <c r="D501" s="7"/>
      <c r="E501" s="7"/>
      <c r="F501" s="7"/>
      <c r="G501" s="7"/>
    </row>
    <row r="502" spans="1:7" ht="13" x14ac:dyDescent="0.15">
      <c r="A502" s="8"/>
      <c r="B502" s="7"/>
      <c r="C502" s="7"/>
      <c r="D502" s="7"/>
      <c r="E502" s="7"/>
      <c r="F502" s="7"/>
      <c r="G502" s="7"/>
    </row>
    <row r="503" spans="1:7" ht="13" x14ac:dyDescent="0.15">
      <c r="A503" s="8"/>
      <c r="B503" s="7"/>
      <c r="C503" s="7"/>
      <c r="D503" s="7"/>
      <c r="E503" s="7"/>
      <c r="F503" s="7"/>
      <c r="G503" s="7"/>
    </row>
    <row r="504" spans="1:7" ht="13" x14ac:dyDescent="0.15">
      <c r="A504" s="8"/>
      <c r="B504" s="7"/>
      <c r="C504" s="7"/>
      <c r="D504" s="7"/>
      <c r="E504" s="7"/>
      <c r="F504" s="7"/>
      <c r="G504" s="7"/>
    </row>
    <row r="505" spans="1:7" ht="13" x14ac:dyDescent="0.15">
      <c r="A505" s="8"/>
      <c r="B505" s="7"/>
      <c r="C505" s="7"/>
      <c r="D505" s="7"/>
      <c r="E505" s="7"/>
      <c r="F505" s="7"/>
      <c r="G505" s="7"/>
    </row>
    <row r="506" spans="1:7" ht="13" x14ac:dyDescent="0.15">
      <c r="A506" s="8"/>
      <c r="B506" s="7"/>
      <c r="C506" s="7"/>
      <c r="D506" s="7"/>
      <c r="E506" s="7"/>
      <c r="F506" s="7"/>
      <c r="G506" s="7"/>
    </row>
    <row r="507" spans="1:7" ht="13" x14ac:dyDescent="0.15">
      <c r="A507" s="8"/>
      <c r="B507" s="7"/>
      <c r="C507" s="7"/>
      <c r="D507" s="7"/>
      <c r="E507" s="7"/>
      <c r="F507" s="7"/>
      <c r="G507" s="7"/>
    </row>
    <row r="508" spans="1:7" ht="13" x14ac:dyDescent="0.15">
      <c r="A508" s="8"/>
      <c r="B508" s="7"/>
      <c r="C508" s="7"/>
      <c r="D508" s="7"/>
      <c r="E508" s="7"/>
      <c r="F508" s="7"/>
      <c r="G508" s="7"/>
    </row>
    <row r="509" spans="1:7" ht="13" x14ac:dyDescent="0.15">
      <c r="A509" s="8"/>
      <c r="B509" s="7"/>
      <c r="C509" s="7"/>
      <c r="D509" s="7"/>
      <c r="E509" s="7"/>
      <c r="F509" s="7"/>
      <c r="G509" s="7"/>
    </row>
    <row r="510" spans="1:7" ht="13" x14ac:dyDescent="0.15">
      <c r="A510" s="8"/>
      <c r="B510" s="7"/>
      <c r="C510" s="7"/>
      <c r="D510" s="7"/>
      <c r="E510" s="7"/>
      <c r="F510" s="7"/>
      <c r="G510" s="7"/>
    </row>
    <row r="511" spans="1:7" ht="13" x14ac:dyDescent="0.15">
      <c r="A511" s="8"/>
      <c r="B511" s="7"/>
      <c r="C511" s="7"/>
      <c r="D511" s="7"/>
      <c r="E511" s="7"/>
      <c r="F511" s="7"/>
      <c r="G511" s="7"/>
    </row>
    <row r="512" spans="1:7" ht="13" x14ac:dyDescent="0.15">
      <c r="A512" s="8"/>
      <c r="B512" s="7"/>
      <c r="C512" s="7"/>
      <c r="D512" s="7"/>
      <c r="E512" s="7"/>
      <c r="F512" s="7"/>
      <c r="G512" s="7"/>
    </row>
    <row r="513" spans="1:7" ht="13" x14ac:dyDescent="0.15">
      <c r="A513" s="8"/>
      <c r="B513" s="7"/>
      <c r="C513" s="7"/>
      <c r="D513" s="7"/>
      <c r="E513" s="7"/>
      <c r="F513" s="7"/>
      <c r="G513" s="7"/>
    </row>
    <row r="514" spans="1:7" ht="13" x14ac:dyDescent="0.15">
      <c r="A514" s="8"/>
      <c r="B514" s="7"/>
      <c r="C514" s="7"/>
      <c r="D514" s="7"/>
      <c r="E514" s="7"/>
      <c r="F514" s="7"/>
      <c r="G514" s="7"/>
    </row>
    <row r="515" spans="1:7" ht="13" x14ac:dyDescent="0.15">
      <c r="A515" s="8"/>
      <c r="B515" s="7"/>
      <c r="C515" s="7"/>
      <c r="D515" s="7"/>
      <c r="E515" s="7"/>
      <c r="F515" s="7"/>
      <c r="G515" s="7"/>
    </row>
    <row r="516" spans="1:7" ht="13" x14ac:dyDescent="0.15">
      <c r="A516" s="8"/>
      <c r="B516" s="7"/>
      <c r="C516" s="7"/>
      <c r="D516" s="7"/>
      <c r="E516" s="7"/>
      <c r="F516" s="7"/>
      <c r="G516" s="7"/>
    </row>
    <row r="517" spans="1:7" ht="13" x14ac:dyDescent="0.15">
      <c r="A517" s="8"/>
      <c r="B517" s="7"/>
      <c r="C517" s="7"/>
      <c r="D517" s="7"/>
      <c r="E517" s="7"/>
      <c r="F517" s="7"/>
      <c r="G517" s="7"/>
    </row>
    <row r="518" spans="1:7" ht="13" x14ac:dyDescent="0.15">
      <c r="A518" s="8"/>
      <c r="B518" s="7"/>
      <c r="C518" s="7"/>
      <c r="D518" s="7"/>
      <c r="E518" s="7"/>
      <c r="F518" s="7"/>
      <c r="G518" s="7"/>
    </row>
    <row r="519" spans="1:7" ht="13" x14ac:dyDescent="0.15">
      <c r="A519" s="8"/>
      <c r="B519" s="7"/>
      <c r="C519" s="7"/>
      <c r="D519" s="7"/>
      <c r="E519" s="7"/>
      <c r="F519" s="7"/>
      <c r="G519" s="7"/>
    </row>
    <row r="520" spans="1:7" ht="13" x14ac:dyDescent="0.15">
      <c r="A520" s="8"/>
      <c r="B520" s="7"/>
      <c r="C520" s="7"/>
      <c r="D520" s="7"/>
      <c r="E520" s="7"/>
      <c r="F520" s="7"/>
      <c r="G520" s="7"/>
    </row>
    <row r="521" spans="1:7" ht="13" x14ac:dyDescent="0.15">
      <c r="A521" s="8"/>
      <c r="B521" s="7"/>
      <c r="C521" s="7"/>
      <c r="D521" s="7"/>
      <c r="E521" s="7"/>
      <c r="F521" s="7"/>
      <c r="G521" s="7"/>
    </row>
    <row r="522" spans="1:7" ht="13" x14ac:dyDescent="0.15">
      <c r="A522" s="8"/>
      <c r="B522" s="7"/>
      <c r="C522" s="7"/>
      <c r="D522" s="7"/>
      <c r="E522" s="7"/>
      <c r="F522" s="7"/>
      <c r="G522" s="7"/>
    </row>
    <row r="523" spans="1:7" ht="13" x14ac:dyDescent="0.15">
      <c r="A523" s="8"/>
      <c r="B523" s="7"/>
      <c r="C523" s="7"/>
      <c r="D523" s="7"/>
      <c r="E523" s="7"/>
      <c r="F523" s="7"/>
      <c r="G523" s="7"/>
    </row>
    <row r="524" spans="1:7" ht="13" x14ac:dyDescent="0.15">
      <c r="A524" s="8"/>
      <c r="B524" s="7"/>
      <c r="C524" s="7"/>
      <c r="D524" s="7"/>
      <c r="E524" s="7"/>
      <c r="F524" s="7"/>
      <c r="G524" s="7"/>
    </row>
    <row r="525" spans="1:7" ht="13" x14ac:dyDescent="0.15">
      <c r="A525" s="8"/>
      <c r="B525" s="7"/>
      <c r="C525" s="7"/>
      <c r="D525" s="7"/>
      <c r="E525" s="7"/>
      <c r="F525" s="7"/>
      <c r="G525" s="7"/>
    </row>
    <row r="526" spans="1:7" ht="13" x14ac:dyDescent="0.15">
      <c r="A526" s="8"/>
      <c r="B526" s="7"/>
      <c r="C526" s="7"/>
      <c r="D526" s="7"/>
      <c r="E526" s="7"/>
      <c r="F526" s="7"/>
      <c r="G526" s="7"/>
    </row>
    <row r="527" spans="1:7" ht="13" x14ac:dyDescent="0.15">
      <c r="A527" s="8"/>
      <c r="B527" s="7"/>
      <c r="C527" s="7"/>
      <c r="D527" s="7"/>
      <c r="E527" s="7"/>
      <c r="F527" s="7"/>
      <c r="G527" s="7"/>
    </row>
    <row r="528" spans="1:7" ht="13" x14ac:dyDescent="0.15">
      <c r="A528" s="8"/>
      <c r="B528" s="7"/>
      <c r="C528" s="7"/>
      <c r="D528" s="7"/>
      <c r="E528" s="7"/>
      <c r="F528" s="7"/>
      <c r="G528" s="7"/>
    </row>
    <row r="529" spans="1:7" ht="13" x14ac:dyDescent="0.15">
      <c r="A529" s="8"/>
      <c r="B529" s="7"/>
      <c r="C529" s="7"/>
      <c r="D529" s="7"/>
      <c r="E529" s="7"/>
      <c r="F529" s="7"/>
      <c r="G529" s="7"/>
    </row>
    <row r="530" spans="1:7" ht="13" x14ac:dyDescent="0.15">
      <c r="A530" s="8"/>
      <c r="B530" s="7"/>
      <c r="C530" s="7"/>
      <c r="D530" s="7"/>
      <c r="E530" s="7"/>
      <c r="F530" s="7"/>
      <c r="G530" s="7"/>
    </row>
    <row r="531" spans="1:7" ht="13" x14ac:dyDescent="0.15">
      <c r="A531" s="8"/>
      <c r="B531" s="7"/>
      <c r="C531" s="7"/>
      <c r="D531" s="7"/>
      <c r="E531" s="7"/>
      <c r="F531" s="7"/>
      <c r="G531" s="7"/>
    </row>
    <row r="532" spans="1:7" ht="13" x14ac:dyDescent="0.15">
      <c r="A532" s="8"/>
      <c r="B532" s="7"/>
      <c r="C532" s="7"/>
      <c r="D532" s="7"/>
      <c r="E532" s="7"/>
      <c r="F532" s="7"/>
      <c r="G532" s="7"/>
    </row>
    <row r="533" spans="1:7" ht="13" x14ac:dyDescent="0.15">
      <c r="A533" s="8"/>
      <c r="B533" s="7"/>
      <c r="C533" s="7"/>
      <c r="D533" s="7"/>
      <c r="E533" s="7"/>
      <c r="F533" s="7"/>
      <c r="G533" s="7"/>
    </row>
    <row r="534" spans="1:7" ht="13" x14ac:dyDescent="0.15">
      <c r="A534" s="8"/>
      <c r="B534" s="7"/>
      <c r="C534" s="7"/>
      <c r="D534" s="7"/>
      <c r="E534" s="7"/>
      <c r="F534" s="7"/>
      <c r="G534" s="7"/>
    </row>
    <row r="535" spans="1:7" ht="13" x14ac:dyDescent="0.15">
      <c r="A535" s="8"/>
      <c r="B535" s="7"/>
      <c r="C535" s="7"/>
      <c r="D535" s="7"/>
      <c r="E535" s="7"/>
      <c r="F535" s="7"/>
      <c r="G535" s="7"/>
    </row>
    <row r="536" spans="1:7" ht="13" x14ac:dyDescent="0.15">
      <c r="A536" s="8"/>
      <c r="B536" s="7"/>
      <c r="C536" s="7"/>
      <c r="D536" s="7"/>
      <c r="E536" s="7"/>
      <c r="F536" s="7"/>
      <c r="G536" s="7"/>
    </row>
    <row r="537" spans="1:7" ht="13" x14ac:dyDescent="0.15">
      <c r="A537" s="8"/>
      <c r="B537" s="7"/>
      <c r="C537" s="7"/>
      <c r="D537" s="7"/>
      <c r="E537" s="7"/>
      <c r="F537" s="7"/>
      <c r="G537" s="7"/>
    </row>
    <row r="538" spans="1:7" ht="13" x14ac:dyDescent="0.15">
      <c r="A538" s="8"/>
      <c r="B538" s="7"/>
      <c r="C538" s="7"/>
      <c r="D538" s="7"/>
      <c r="E538" s="7"/>
      <c r="F538" s="7"/>
      <c r="G538" s="7"/>
    </row>
    <row r="539" spans="1:7" ht="13" x14ac:dyDescent="0.15">
      <c r="A539" s="8"/>
      <c r="B539" s="7"/>
      <c r="C539" s="7"/>
      <c r="D539" s="7"/>
      <c r="E539" s="7"/>
      <c r="F539" s="7"/>
      <c r="G539" s="7"/>
    </row>
    <row r="540" spans="1:7" ht="13" x14ac:dyDescent="0.15">
      <c r="A540" s="8"/>
      <c r="B540" s="7"/>
      <c r="C540" s="7"/>
      <c r="D540" s="7"/>
      <c r="E540" s="7"/>
      <c r="F540" s="7"/>
      <c r="G540" s="7"/>
    </row>
    <row r="541" spans="1:7" ht="13" x14ac:dyDescent="0.15">
      <c r="A541" s="8"/>
      <c r="B541" s="7"/>
      <c r="C541" s="7"/>
      <c r="D541" s="7"/>
      <c r="E541" s="7"/>
      <c r="F541" s="7"/>
      <c r="G541" s="7"/>
    </row>
    <row r="542" spans="1:7" ht="13" x14ac:dyDescent="0.15">
      <c r="A542" s="8"/>
      <c r="B542" s="7"/>
      <c r="C542" s="7"/>
      <c r="D542" s="7"/>
      <c r="E542" s="7"/>
      <c r="F542" s="7"/>
      <c r="G542" s="7"/>
    </row>
    <row r="543" spans="1:7" ht="13" x14ac:dyDescent="0.15">
      <c r="A543" s="8"/>
      <c r="B543" s="7"/>
      <c r="C543" s="7"/>
      <c r="D543" s="7"/>
      <c r="E543" s="7"/>
      <c r="F543" s="7"/>
      <c r="G543" s="7"/>
    </row>
    <row r="544" spans="1:7" ht="13" x14ac:dyDescent="0.15">
      <c r="A544" s="8"/>
      <c r="B544" s="7"/>
      <c r="C544" s="7"/>
      <c r="D544" s="7"/>
      <c r="E544" s="7"/>
      <c r="F544" s="7"/>
      <c r="G544" s="7"/>
    </row>
    <row r="545" spans="1:7" ht="13" x14ac:dyDescent="0.15">
      <c r="A545" s="8"/>
      <c r="B545" s="7"/>
      <c r="C545" s="7"/>
      <c r="D545" s="7"/>
      <c r="E545" s="7"/>
      <c r="F545" s="7"/>
      <c r="G545" s="7"/>
    </row>
    <row r="546" spans="1:7" ht="13" x14ac:dyDescent="0.15">
      <c r="A546" s="8"/>
      <c r="B546" s="7"/>
      <c r="C546" s="7"/>
      <c r="D546" s="7"/>
      <c r="E546" s="7"/>
      <c r="F546" s="7"/>
      <c r="G546" s="7"/>
    </row>
    <row r="547" spans="1:7" ht="13" x14ac:dyDescent="0.15">
      <c r="A547" s="8"/>
      <c r="B547" s="7"/>
      <c r="C547" s="7"/>
      <c r="D547" s="7"/>
      <c r="E547" s="7"/>
      <c r="F547" s="7"/>
      <c r="G547" s="7"/>
    </row>
    <row r="548" spans="1:7" ht="13" x14ac:dyDescent="0.15">
      <c r="A548" s="8"/>
      <c r="B548" s="7"/>
      <c r="C548" s="7"/>
      <c r="D548" s="7"/>
      <c r="E548" s="7"/>
      <c r="F548" s="7"/>
      <c r="G548" s="7"/>
    </row>
    <row r="549" spans="1:7" ht="13" x14ac:dyDescent="0.15">
      <c r="A549" s="8"/>
      <c r="B549" s="7"/>
      <c r="C549" s="7"/>
      <c r="D549" s="7"/>
      <c r="E549" s="7"/>
      <c r="F549" s="7"/>
      <c r="G549" s="7"/>
    </row>
    <row r="550" spans="1:7" ht="13" x14ac:dyDescent="0.15">
      <c r="A550" s="8"/>
      <c r="B550" s="7"/>
      <c r="C550" s="7"/>
      <c r="D550" s="7"/>
      <c r="E550" s="7"/>
      <c r="F550" s="7"/>
      <c r="G550" s="7"/>
    </row>
    <row r="551" spans="1:7" ht="13" x14ac:dyDescent="0.15">
      <c r="A551" s="8"/>
      <c r="B551" s="7"/>
      <c r="C551" s="7"/>
      <c r="D551" s="7"/>
      <c r="E551" s="7"/>
      <c r="F551" s="7"/>
      <c r="G551" s="7"/>
    </row>
    <row r="552" spans="1:7" ht="13" x14ac:dyDescent="0.15">
      <c r="A552" s="8"/>
      <c r="B552" s="7"/>
      <c r="C552" s="7"/>
      <c r="D552" s="7"/>
      <c r="E552" s="7"/>
      <c r="F552" s="7"/>
      <c r="G552" s="7"/>
    </row>
    <row r="553" spans="1:7" ht="13" x14ac:dyDescent="0.15">
      <c r="A553" s="8"/>
      <c r="B553" s="7"/>
      <c r="C553" s="7"/>
      <c r="D553" s="7"/>
      <c r="E553" s="7"/>
      <c r="F553" s="7"/>
      <c r="G553" s="7"/>
    </row>
    <row r="554" spans="1:7" ht="13" x14ac:dyDescent="0.15">
      <c r="A554" s="8"/>
      <c r="B554" s="7"/>
      <c r="C554" s="7"/>
      <c r="D554" s="7"/>
      <c r="E554" s="7"/>
      <c r="F554" s="7"/>
      <c r="G554" s="7"/>
    </row>
    <row r="555" spans="1:7" ht="13" x14ac:dyDescent="0.15">
      <c r="A555" s="8"/>
      <c r="B555" s="7"/>
      <c r="C555" s="7"/>
      <c r="D555" s="7"/>
      <c r="E555" s="7"/>
      <c r="F555" s="7"/>
      <c r="G555" s="7"/>
    </row>
    <row r="556" spans="1:7" ht="13" x14ac:dyDescent="0.15">
      <c r="A556" s="8"/>
      <c r="B556" s="7"/>
      <c r="C556" s="7"/>
      <c r="D556" s="7"/>
      <c r="E556" s="7"/>
      <c r="F556" s="7"/>
      <c r="G556" s="7"/>
    </row>
    <row r="557" spans="1:7" ht="13" x14ac:dyDescent="0.15">
      <c r="A557" s="8"/>
      <c r="B557" s="7"/>
      <c r="C557" s="7"/>
      <c r="D557" s="7"/>
      <c r="E557" s="7"/>
      <c r="F557" s="7"/>
      <c r="G557" s="7"/>
    </row>
    <row r="558" spans="1:7" ht="13" x14ac:dyDescent="0.15">
      <c r="A558" s="8"/>
      <c r="B558" s="7"/>
      <c r="C558" s="7"/>
      <c r="D558" s="7"/>
      <c r="E558" s="7"/>
      <c r="F558" s="7"/>
      <c r="G558" s="7"/>
    </row>
    <row r="559" spans="1:7" ht="13" x14ac:dyDescent="0.15">
      <c r="A559" s="8"/>
      <c r="B559" s="7"/>
      <c r="C559" s="7"/>
      <c r="D559" s="7"/>
      <c r="E559" s="7"/>
      <c r="F559" s="7"/>
      <c r="G559" s="7"/>
    </row>
    <row r="560" spans="1:7" ht="13" x14ac:dyDescent="0.15">
      <c r="A560" s="8"/>
      <c r="B560" s="7"/>
      <c r="C560" s="7"/>
      <c r="D560" s="7"/>
      <c r="E560" s="7"/>
      <c r="F560" s="7"/>
      <c r="G560" s="7"/>
    </row>
    <row r="561" spans="1:7" ht="13" x14ac:dyDescent="0.15">
      <c r="A561" s="8"/>
      <c r="B561" s="7"/>
      <c r="C561" s="7"/>
      <c r="D561" s="7"/>
      <c r="E561" s="7"/>
      <c r="F561" s="7"/>
      <c r="G561" s="7"/>
    </row>
    <row r="562" spans="1:7" ht="13" x14ac:dyDescent="0.15">
      <c r="A562" s="8"/>
      <c r="B562" s="7"/>
      <c r="C562" s="7"/>
      <c r="D562" s="7"/>
      <c r="E562" s="7"/>
      <c r="F562" s="7"/>
      <c r="G562" s="7"/>
    </row>
    <row r="563" spans="1:7" ht="13" x14ac:dyDescent="0.15">
      <c r="A563" s="8"/>
      <c r="B563" s="7"/>
      <c r="C563" s="7"/>
      <c r="D563" s="7"/>
      <c r="E563" s="7"/>
      <c r="F563" s="7"/>
      <c r="G563" s="7"/>
    </row>
    <row r="564" spans="1:7" ht="13" x14ac:dyDescent="0.15">
      <c r="A564" s="8"/>
      <c r="B564" s="7"/>
      <c r="C564" s="7"/>
      <c r="D564" s="7"/>
      <c r="E564" s="7"/>
      <c r="F564" s="7"/>
      <c r="G564" s="7"/>
    </row>
    <row r="565" spans="1:7" ht="13" x14ac:dyDescent="0.15">
      <c r="A565" s="8"/>
      <c r="B565" s="7"/>
      <c r="C565" s="7"/>
      <c r="D565" s="7"/>
      <c r="E565" s="7"/>
      <c r="F565" s="7"/>
      <c r="G565" s="7"/>
    </row>
    <row r="566" spans="1:7" ht="13" x14ac:dyDescent="0.15">
      <c r="A566" s="8"/>
      <c r="B566" s="7"/>
      <c r="C566" s="7"/>
      <c r="D566" s="7"/>
      <c r="E566" s="7"/>
      <c r="F566" s="7"/>
      <c r="G566" s="7"/>
    </row>
    <row r="567" spans="1:7" ht="13" x14ac:dyDescent="0.15">
      <c r="A567" s="8"/>
      <c r="B567" s="7"/>
      <c r="C567" s="7"/>
      <c r="D567" s="7"/>
      <c r="E567" s="7"/>
      <c r="F567" s="7"/>
      <c r="G567" s="7"/>
    </row>
    <row r="568" spans="1:7" ht="13" x14ac:dyDescent="0.15">
      <c r="A568" s="8"/>
      <c r="B568" s="7"/>
      <c r="C568" s="7"/>
      <c r="D568" s="7"/>
      <c r="E568" s="7"/>
      <c r="F568" s="7"/>
      <c r="G568" s="7"/>
    </row>
    <row r="569" spans="1:7" ht="13" x14ac:dyDescent="0.15">
      <c r="A569" s="8"/>
      <c r="B569" s="7"/>
      <c r="C569" s="7"/>
      <c r="D569" s="7"/>
      <c r="E569" s="7"/>
      <c r="F569" s="7"/>
      <c r="G569" s="7"/>
    </row>
    <row r="570" spans="1:7" ht="13" x14ac:dyDescent="0.15">
      <c r="A570" s="8"/>
      <c r="B570" s="7"/>
      <c r="C570" s="7"/>
      <c r="D570" s="7"/>
      <c r="E570" s="7"/>
      <c r="F570" s="7"/>
      <c r="G570" s="7"/>
    </row>
    <row r="571" spans="1:7" ht="13" x14ac:dyDescent="0.15">
      <c r="A571" s="8"/>
      <c r="B571" s="7"/>
      <c r="C571" s="7"/>
      <c r="D571" s="7"/>
      <c r="E571" s="7"/>
      <c r="F571" s="7"/>
      <c r="G571" s="7"/>
    </row>
    <row r="572" spans="1:7" ht="13" x14ac:dyDescent="0.15">
      <c r="A572" s="8"/>
      <c r="B572" s="7"/>
      <c r="C572" s="7"/>
      <c r="D572" s="7"/>
      <c r="E572" s="7"/>
      <c r="F572" s="7"/>
      <c r="G572" s="7"/>
    </row>
    <row r="573" spans="1:7" ht="13" x14ac:dyDescent="0.15">
      <c r="A573" s="8"/>
      <c r="B573" s="7"/>
      <c r="C573" s="7"/>
      <c r="D573" s="7"/>
      <c r="E573" s="7"/>
      <c r="F573" s="7"/>
      <c r="G573" s="7"/>
    </row>
    <row r="574" spans="1:7" ht="13" x14ac:dyDescent="0.15">
      <c r="A574" s="8"/>
      <c r="B574" s="7"/>
      <c r="C574" s="7"/>
      <c r="D574" s="7"/>
      <c r="E574" s="7"/>
      <c r="F574" s="7"/>
      <c r="G574" s="7"/>
    </row>
    <row r="575" spans="1:7" ht="13" x14ac:dyDescent="0.15">
      <c r="A575" s="8"/>
      <c r="B575" s="7"/>
      <c r="C575" s="7"/>
      <c r="D575" s="7"/>
      <c r="E575" s="7"/>
      <c r="F575" s="7"/>
      <c r="G575" s="7"/>
    </row>
    <row r="576" spans="1:7" ht="13" x14ac:dyDescent="0.15">
      <c r="A576" s="8"/>
      <c r="B576" s="7"/>
      <c r="C576" s="7"/>
      <c r="D576" s="7"/>
      <c r="E576" s="7"/>
      <c r="F576" s="7"/>
      <c r="G576" s="7"/>
    </row>
    <row r="577" spans="1:7" ht="13" x14ac:dyDescent="0.15">
      <c r="A577" s="8"/>
      <c r="B577" s="7"/>
      <c r="C577" s="7"/>
      <c r="D577" s="7"/>
      <c r="E577" s="7"/>
      <c r="F577" s="7"/>
      <c r="G577" s="7"/>
    </row>
    <row r="578" spans="1:7" ht="13" x14ac:dyDescent="0.15">
      <c r="A578" s="8"/>
      <c r="B578" s="7"/>
      <c r="C578" s="7"/>
      <c r="D578" s="7"/>
      <c r="E578" s="7"/>
      <c r="F578" s="7"/>
      <c r="G578" s="7"/>
    </row>
    <row r="579" spans="1:7" ht="13" x14ac:dyDescent="0.15">
      <c r="A579" s="8"/>
      <c r="B579" s="7"/>
      <c r="C579" s="7"/>
      <c r="D579" s="7"/>
      <c r="E579" s="7"/>
      <c r="F579" s="7"/>
      <c r="G579" s="7"/>
    </row>
    <row r="580" spans="1:7" ht="13" x14ac:dyDescent="0.15">
      <c r="A580" s="8"/>
      <c r="B580" s="7"/>
      <c r="C580" s="7"/>
      <c r="D580" s="7"/>
      <c r="E580" s="7"/>
      <c r="F580" s="7"/>
      <c r="G580" s="7"/>
    </row>
    <row r="581" spans="1:7" ht="13" x14ac:dyDescent="0.15">
      <c r="A581" s="8"/>
      <c r="B581" s="7"/>
      <c r="C581" s="7"/>
      <c r="D581" s="7"/>
      <c r="E581" s="7"/>
      <c r="F581" s="7"/>
      <c r="G581" s="7"/>
    </row>
    <row r="582" spans="1:7" ht="13" x14ac:dyDescent="0.15">
      <c r="A582" s="8"/>
      <c r="B582" s="7"/>
      <c r="C582" s="7"/>
      <c r="D582" s="7"/>
      <c r="E582" s="7"/>
      <c r="F582" s="7"/>
      <c r="G582" s="7"/>
    </row>
    <row r="583" spans="1:7" ht="13" x14ac:dyDescent="0.15">
      <c r="A583" s="8"/>
      <c r="B583" s="7"/>
      <c r="C583" s="7"/>
      <c r="D583" s="7"/>
      <c r="E583" s="7"/>
      <c r="F583" s="7"/>
      <c r="G583" s="7"/>
    </row>
    <row r="584" spans="1:7" ht="13" x14ac:dyDescent="0.15">
      <c r="A584" s="8"/>
      <c r="B584" s="7"/>
      <c r="C584" s="7"/>
      <c r="D584" s="7"/>
      <c r="E584" s="7"/>
      <c r="F584" s="7"/>
      <c r="G584" s="7"/>
    </row>
    <row r="585" spans="1:7" ht="13" x14ac:dyDescent="0.15">
      <c r="A585" s="8"/>
      <c r="B585" s="7"/>
      <c r="C585" s="7"/>
      <c r="D585" s="7"/>
      <c r="E585" s="7"/>
      <c r="F585" s="7"/>
      <c r="G585" s="7"/>
    </row>
    <row r="586" spans="1:7" ht="13" x14ac:dyDescent="0.15">
      <c r="A586" s="8"/>
      <c r="B586" s="7"/>
      <c r="C586" s="7"/>
      <c r="D586" s="7"/>
      <c r="E586" s="7"/>
      <c r="F586" s="7"/>
      <c r="G586" s="7"/>
    </row>
    <row r="587" spans="1:7" ht="13" x14ac:dyDescent="0.15">
      <c r="A587" s="8"/>
      <c r="B587" s="7"/>
      <c r="C587" s="7"/>
      <c r="D587" s="7"/>
      <c r="E587" s="7"/>
      <c r="F587" s="7"/>
      <c r="G587" s="7"/>
    </row>
    <row r="588" spans="1:7" ht="13" x14ac:dyDescent="0.15">
      <c r="A588" s="8"/>
      <c r="B588" s="7"/>
      <c r="C588" s="7"/>
      <c r="D588" s="7"/>
      <c r="E588" s="7"/>
      <c r="F588" s="7"/>
      <c r="G588" s="7"/>
    </row>
    <row r="589" spans="1:7" ht="13" x14ac:dyDescent="0.15">
      <c r="A589" s="8"/>
      <c r="B589" s="7"/>
      <c r="C589" s="7"/>
      <c r="D589" s="7"/>
      <c r="E589" s="7"/>
      <c r="F589" s="7"/>
      <c r="G589" s="7"/>
    </row>
    <row r="590" spans="1:7" ht="13" x14ac:dyDescent="0.15">
      <c r="A590" s="8"/>
      <c r="B590" s="7"/>
      <c r="C590" s="7"/>
      <c r="D590" s="7"/>
      <c r="E590" s="7"/>
      <c r="F590" s="7"/>
      <c r="G590" s="7"/>
    </row>
    <row r="591" spans="1:7" ht="13" x14ac:dyDescent="0.15">
      <c r="A591" s="8"/>
      <c r="B591" s="7"/>
      <c r="C591" s="7"/>
      <c r="D591" s="7"/>
      <c r="E591" s="7"/>
      <c r="F591" s="7"/>
      <c r="G591" s="7"/>
    </row>
    <row r="592" spans="1:7" ht="13" x14ac:dyDescent="0.15">
      <c r="A592" s="8"/>
      <c r="B592" s="7"/>
      <c r="C592" s="7"/>
      <c r="D592" s="7"/>
      <c r="E592" s="7"/>
      <c r="F592" s="7"/>
      <c r="G592" s="7"/>
    </row>
    <row r="593" spans="1:7" ht="13" x14ac:dyDescent="0.15">
      <c r="A593" s="8"/>
      <c r="B593" s="7"/>
      <c r="C593" s="7"/>
      <c r="D593" s="7"/>
      <c r="E593" s="7"/>
      <c r="F593" s="7"/>
      <c r="G593" s="7"/>
    </row>
    <row r="594" spans="1:7" ht="13" x14ac:dyDescent="0.15">
      <c r="A594" s="8"/>
      <c r="B594" s="7"/>
      <c r="C594" s="7"/>
      <c r="D594" s="7"/>
      <c r="E594" s="7"/>
      <c r="F594" s="7"/>
      <c r="G594" s="7"/>
    </row>
    <row r="595" spans="1:7" ht="13" x14ac:dyDescent="0.15">
      <c r="A595" s="8"/>
      <c r="B595" s="7"/>
      <c r="C595" s="7"/>
      <c r="D595" s="7"/>
      <c r="E595" s="7"/>
      <c r="F595" s="7"/>
      <c r="G595" s="7"/>
    </row>
    <row r="596" spans="1:7" ht="13" x14ac:dyDescent="0.15">
      <c r="A596" s="8"/>
      <c r="B596" s="7"/>
      <c r="C596" s="7"/>
      <c r="D596" s="7"/>
      <c r="E596" s="7"/>
      <c r="F596" s="7"/>
      <c r="G596" s="7"/>
    </row>
    <row r="597" spans="1:7" ht="13" x14ac:dyDescent="0.15">
      <c r="A597" s="8"/>
      <c r="B597" s="7"/>
      <c r="C597" s="7"/>
      <c r="D597" s="7"/>
      <c r="E597" s="7"/>
      <c r="F597" s="7"/>
      <c r="G597" s="7"/>
    </row>
    <row r="598" spans="1:7" ht="13" x14ac:dyDescent="0.15">
      <c r="A598" s="8"/>
      <c r="B598" s="7"/>
      <c r="C598" s="7"/>
      <c r="D598" s="7"/>
      <c r="E598" s="7"/>
      <c r="F598" s="7"/>
      <c r="G598" s="7"/>
    </row>
    <row r="599" spans="1:7" ht="13" x14ac:dyDescent="0.15">
      <c r="A599" s="8"/>
      <c r="B599" s="7"/>
      <c r="C599" s="7"/>
      <c r="D599" s="7"/>
      <c r="E599" s="7"/>
      <c r="F599" s="7"/>
      <c r="G599" s="7"/>
    </row>
    <row r="600" spans="1:7" ht="13" x14ac:dyDescent="0.15">
      <c r="A600" s="8"/>
      <c r="B600" s="7"/>
      <c r="C600" s="7"/>
      <c r="D600" s="7"/>
      <c r="E600" s="7"/>
      <c r="F600" s="7"/>
      <c r="G600" s="7"/>
    </row>
    <row r="601" spans="1:7" ht="13" x14ac:dyDescent="0.15">
      <c r="A601" s="8"/>
      <c r="B601" s="7"/>
      <c r="C601" s="7"/>
      <c r="D601" s="7"/>
      <c r="E601" s="7"/>
      <c r="F601" s="7"/>
      <c r="G601" s="7"/>
    </row>
    <row r="602" spans="1:7" ht="13" x14ac:dyDescent="0.15">
      <c r="A602" s="8"/>
      <c r="B602" s="7"/>
      <c r="C602" s="7"/>
      <c r="D602" s="7"/>
      <c r="E602" s="7"/>
      <c r="F602" s="7"/>
      <c r="G602" s="7"/>
    </row>
    <row r="603" spans="1:7" ht="13" x14ac:dyDescent="0.15">
      <c r="A603" s="8"/>
      <c r="B603" s="7"/>
      <c r="C603" s="7"/>
      <c r="D603" s="7"/>
      <c r="E603" s="7"/>
      <c r="F603" s="7"/>
      <c r="G603" s="7"/>
    </row>
    <row r="604" spans="1:7" ht="13" x14ac:dyDescent="0.15">
      <c r="A604" s="8"/>
      <c r="B604" s="7"/>
      <c r="C604" s="7"/>
      <c r="D604" s="7"/>
      <c r="E604" s="7"/>
      <c r="F604" s="7"/>
      <c r="G604" s="7"/>
    </row>
    <row r="605" spans="1:7" ht="13" x14ac:dyDescent="0.15">
      <c r="A605" s="8"/>
      <c r="B605" s="7"/>
      <c r="C605" s="7"/>
      <c r="D605" s="7"/>
      <c r="E605" s="7"/>
      <c r="F605" s="7"/>
      <c r="G605" s="7"/>
    </row>
    <row r="606" spans="1:7" ht="13" x14ac:dyDescent="0.15">
      <c r="A606" s="8"/>
      <c r="B606" s="7"/>
      <c r="C606" s="7"/>
      <c r="D606" s="7"/>
      <c r="E606" s="7"/>
      <c r="F606" s="7"/>
      <c r="G606" s="7"/>
    </row>
    <row r="607" spans="1:7" ht="13" x14ac:dyDescent="0.15">
      <c r="A607" s="8"/>
      <c r="B607" s="7"/>
      <c r="C607" s="7"/>
      <c r="D607" s="7"/>
      <c r="E607" s="7"/>
      <c r="F607" s="7"/>
      <c r="G607" s="7"/>
    </row>
    <row r="608" spans="1:7" ht="13" x14ac:dyDescent="0.15">
      <c r="A608" s="8"/>
      <c r="B608" s="7"/>
      <c r="C608" s="7"/>
      <c r="D608" s="7"/>
      <c r="E608" s="7"/>
      <c r="F608" s="7"/>
      <c r="G608" s="7"/>
    </row>
    <row r="609" spans="1:7" ht="13" x14ac:dyDescent="0.15">
      <c r="A609" s="8"/>
      <c r="B609" s="7"/>
      <c r="C609" s="7"/>
      <c r="D609" s="7"/>
      <c r="E609" s="7"/>
      <c r="F609" s="7"/>
      <c r="G609" s="7"/>
    </row>
    <row r="610" spans="1:7" ht="13" x14ac:dyDescent="0.15">
      <c r="A610" s="8"/>
      <c r="B610" s="7"/>
      <c r="C610" s="7"/>
      <c r="D610" s="7"/>
      <c r="E610" s="7"/>
      <c r="F610" s="7"/>
      <c r="G610" s="7"/>
    </row>
    <row r="611" spans="1:7" ht="13" x14ac:dyDescent="0.15">
      <c r="A611" s="8"/>
      <c r="B611" s="7"/>
      <c r="C611" s="7"/>
      <c r="D611" s="7"/>
      <c r="E611" s="7"/>
      <c r="F611" s="7"/>
      <c r="G611" s="7"/>
    </row>
    <row r="612" spans="1:7" ht="13" x14ac:dyDescent="0.15">
      <c r="A612" s="8"/>
      <c r="B612" s="7"/>
      <c r="C612" s="7"/>
      <c r="D612" s="7"/>
      <c r="E612" s="7"/>
      <c r="F612" s="7"/>
      <c r="G612" s="7"/>
    </row>
    <row r="613" spans="1:7" ht="13" x14ac:dyDescent="0.15">
      <c r="A613" s="8"/>
      <c r="B613" s="7"/>
      <c r="C613" s="7"/>
      <c r="D613" s="7"/>
      <c r="E613" s="7"/>
      <c r="F613" s="7"/>
      <c r="G613" s="7"/>
    </row>
    <row r="614" spans="1:7" ht="13" x14ac:dyDescent="0.15">
      <c r="A614" s="8"/>
      <c r="B614" s="7"/>
      <c r="C614" s="7"/>
      <c r="D614" s="7"/>
      <c r="E614" s="7"/>
      <c r="F614" s="7"/>
      <c r="G614" s="7"/>
    </row>
    <row r="615" spans="1:7" ht="13" x14ac:dyDescent="0.15">
      <c r="A615" s="8"/>
      <c r="B615" s="7"/>
      <c r="C615" s="7"/>
      <c r="D615" s="7"/>
      <c r="E615" s="7"/>
      <c r="F615" s="7"/>
      <c r="G615" s="7"/>
    </row>
    <row r="616" spans="1:7" ht="13" x14ac:dyDescent="0.15">
      <c r="A616" s="8"/>
      <c r="B616" s="7"/>
      <c r="C616" s="7"/>
      <c r="D616" s="7"/>
      <c r="E616" s="7"/>
      <c r="F616" s="7"/>
      <c r="G616" s="7"/>
    </row>
    <row r="617" spans="1:7" ht="13" x14ac:dyDescent="0.15">
      <c r="A617" s="8"/>
      <c r="B617" s="7"/>
      <c r="C617" s="7"/>
      <c r="D617" s="7"/>
      <c r="E617" s="7"/>
      <c r="F617" s="7"/>
      <c r="G617" s="7"/>
    </row>
    <row r="618" spans="1:7" ht="13" x14ac:dyDescent="0.15">
      <c r="A618" s="8"/>
      <c r="B618" s="7"/>
      <c r="C618" s="7"/>
      <c r="D618" s="7"/>
      <c r="E618" s="7"/>
      <c r="F618" s="7"/>
      <c r="G618" s="7"/>
    </row>
    <row r="619" spans="1:7" ht="13" x14ac:dyDescent="0.15">
      <c r="A619" s="8"/>
      <c r="B619" s="7"/>
      <c r="C619" s="7"/>
      <c r="D619" s="7"/>
      <c r="E619" s="7"/>
      <c r="F619" s="7"/>
      <c r="G619" s="7"/>
    </row>
    <row r="620" spans="1:7" ht="13" x14ac:dyDescent="0.15">
      <c r="A620" s="8"/>
      <c r="B620" s="7"/>
      <c r="C620" s="7"/>
      <c r="D620" s="7"/>
      <c r="E620" s="7"/>
      <c r="F620" s="7"/>
      <c r="G620" s="7"/>
    </row>
    <row r="621" spans="1:7" ht="13" x14ac:dyDescent="0.15">
      <c r="A621" s="8"/>
      <c r="B621" s="7"/>
      <c r="C621" s="7"/>
      <c r="D621" s="7"/>
      <c r="E621" s="7"/>
      <c r="F621" s="7"/>
      <c r="G621" s="7"/>
    </row>
    <row r="622" spans="1:7" ht="13" x14ac:dyDescent="0.15">
      <c r="A622" s="8"/>
      <c r="B622" s="7"/>
      <c r="C622" s="7"/>
      <c r="D622" s="7"/>
      <c r="E622" s="7"/>
      <c r="F622" s="7"/>
      <c r="G622" s="7"/>
    </row>
    <row r="623" spans="1:7" ht="13" x14ac:dyDescent="0.15">
      <c r="A623" s="8"/>
      <c r="B623" s="7"/>
      <c r="C623" s="7"/>
      <c r="D623" s="7"/>
      <c r="E623" s="7"/>
      <c r="F623" s="7"/>
      <c r="G623" s="7"/>
    </row>
    <row r="624" spans="1:7" ht="13" x14ac:dyDescent="0.15">
      <c r="A624" s="8"/>
      <c r="B624" s="7"/>
      <c r="C624" s="7"/>
      <c r="D624" s="7"/>
      <c r="E624" s="7"/>
      <c r="F624" s="7"/>
      <c r="G624" s="7"/>
    </row>
    <row r="625" spans="1:7" ht="13" x14ac:dyDescent="0.15">
      <c r="A625" s="8"/>
      <c r="B625" s="7"/>
      <c r="C625" s="7"/>
      <c r="D625" s="7"/>
      <c r="E625" s="7"/>
      <c r="F625" s="7"/>
      <c r="G625" s="7"/>
    </row>
    <row r="626" spans="1:7" ht="13" x14ac:dyDescent="0.15">
      <c r="A626" s="8"/>
      <c r="B626" s="7"/>
      <c r="C626" s="7"/>
      <c r="D626" s="7"/>
      <c r="E626" s="7"/>
      <c r="F626" s="7"/>
      <c r="G626" s="7"/>
    </row>
    <row r="627" spans="1:7" ht="13" x14ac:dyDescent="0.15">
      <c r="A627" s="8"/>
      <c r="B627" s="7"/>
      <c r="C627" s="7"/>
      <c r="D627" s="7"/>
      <c r="E627" s="7"/>
      <c r="F627" s="7"/>
      <c r="G627" s="7"/>
    </row>
    <row r="628" spans="1:7" ht="13" x14ac:dyDescent="0.15">
      <c r="A628" s="8"/>
      <c r="B628" s="7"/>
      <c r="C628" s="7"/>
      <c r="D628" s="7"/>
      <c r="E628" s="7"/>
      <c r="F628" s="7"/>
      <c r="G628" s="7"/>
    </row>
    <row r="629" spans="1:7" ht="13" x14ac:dyDescent="0.15">
      <c r="A629" s="8"/>
      <c r="B629" s="7"/>
      <c r="C629" s="7"/>
      <c r="D629" s="7"/>
      <c r="E629" s="7"/>
      <c r="F629" s="7"/>
      <c r="G629" s="7"/>
    </row>
    <row r="630" spans="1:7" ht="13" x14ac:dyDescent="0.15">
      <c r="A630" s="8"/>
      <c r="B630" s="7"/>
      <c r="C630" s="7"/>
      <c r="D630" s="7"/>
      <c r="E630" s="7"/>
      <c r="F630" s="7"/>
      <c r="G630" s="7"/>
    </row>
    <row r="631" spans="1:7" ht="13" x14ac:dyDescent="0.15">
      <c r="A631" s="8"/>
      <c r="B631" s="7"/>
      <c r="C631" s="7"/>
      <c r="D631" s="7"/>
      <c r="E631" s="7"/>
      <c r="F631" s="7"/>
      <c r="G631" s="7"/>
    </row>
    <row r="632" spans="1:7" ht="13" x14ac:dyDescent="0.15">
      <c r="A632" s="8"/>
      <c r="B632" s="7"/>
      <c r="C632" s="7"/>
      <c r="D632" s="7"/>
      <c r="E632" s="7"/>
      <c r="F632" s="7"/>
      <c r="G632" s="7"/>
    </row>
    <row r="633" spans="1:7" ht="13" x14ac:dyDescent="0.15">
      <c r="A633" s="8"/>
      <c r="B633" s="7"/>
      <c r="C633" s="7"/>
      <c r="D633" s="7"/>
      <c r="E633" s="7"/>
      <c r="F633" s="7"/>
      <c r="G633" s="7"/>
    </row>
    <row r="634" spans="1:7" ht="13" x14ac:dyDescent="0.15">
      <c r="A634" s="8"/>
      <c r="B634" s="7"/>
      <c r="C634" s="7"/>
      <c r="D634" s="7"/>
      <c r="E634" s="7"/>
      <c r="F634" s="7"/>
      <c r="G634" s="7"/>
    </row>
    <row r="635" spans="1:7" ht="13" x14ac:dyDescent="0.15">
      <c r="A635" s="8"/>
      <c r="B635" s="7"/>
      <c r="C635" s="7"/>
      <c r="D635" s="7"/>
      <c r="E635" s="7"/>
      <c r="F635" s="7"/>
      <c r="G635" s="7"/>
    </row>
    <row r="636" spans="1:7" ht="13" x14ac:dyDescent="0.15">
      <c r="A636" s="8"/>
      <c r="B636" s="7"/>
      <c r="C636" s="7"/>
      <c r="D636" s="7"/>
      <c r="E636" s="7"/>
      <c r="F636" s="7"/>
      <c r="G636" s="7"/>
    </row>
    <row r="637" spans="1:7" ht="13" x14ac:dyDescent="0.15">
      <c r="A637" s="8"/>
      <c r="B637" s="7"/>
      <c r="C637" s="7"/>
      <c r="D637" s="7"/>
      <c r="E637" s="7"/>
      <c r="F637" s="7"/>
      <c r="G637" s="7"/>
    </row>
    <row r="638" spans="1:7" ht="13" x14ac:dyDescent="0.15">
      <c r="A638" s="8"/>
      <c r="B638" s="7"/>
      <c r="C638" s="7"/>
      <c r="D638" s="7"/>
      <c r="E638" s="7"/>
      <c r="F638" s="7"/>
      <c r="G638" s="7"/>
    </row>
    <row r="639" spans="1:7" ht="13" x14ac:dyDescent="0.15">
      <c r="A639" s="8"/>
      <c r="B639" s="7"/>
      <c r="C639" s="7"/>
      <c r="D639" s="7"/>
      <c r="E639" s="7"/>
      <c r="F639" s="7"/>
      <c r="G639" s="7"/>
    </row>
    <row r="640" spans="1:7" ht="13" x14ac:dyDescent="0.15">
      <c r="A640" s="8"/>
      <c r="B640" s="7"/>
      <c r="C640" s="7"/>
      <c r="D640" s="7"/>
      <c r="E640" s="7"/>
      <c r="F640" s="7"/>
      <c r="G640" s="7"/>
    </row>
    <row r="641" spans="1:7" ht="13" x14ac:dyDescent="0.15">
      <c r="A641" s="8"/>
      <c r="B641" s="7"/>
      <c r="C641" s="7"/>
      <c r="D641" s="7"/>
      <c r="E641" s="7"/>
      <c r="F641" s="7"/>
      <c r="G641" s="7"/>
    </row>
    <row r="642" spans="1:7" ht="13" x14ac:dyDescent="0.15">
      <c r="A642" s="8"/>
      <c r="B642" s="7"/>
      <c r="C642" s="7"/>
      <c r="D642" s="7"/>
      <c r="E642" s="7"/>
      <c r="F642" s="7"/>
      <c r="G642" s="7"/>
    </row>
    <row r="643" spans="1:7" ht="13" x14ac:dyDescent="0.15">
      <c r="A643" s="8"/>
      <c r="B643" s="7"/>
      <c r="C643" s="7"/>
      <c r="D643" s="7"/>
      <c r="E643" s="7"/>
      <c r="F643" s="7"/>
      <c r="G643" s="7"/>
    </row>
    <row r="644" spans="1:7" ht="13" x14ac:dyDescent="0.15">
      <c r="A644" s="8"/>
      <c r="B644" s="7"/>
      <c r="C644" s="7"/>
      <c r="D644" s="7"/>
      <c r="E644" s="7"/>
      <c r="F644" s="7"/>
      <c r="G644" s="7"/>
    </row>
    <row r="645" spans="1:7" ht="13" x14ac:dyDescent="0.15">
      <c r="A645" s="8"/>
      <c r="B645" s="7"/>
      <c r="C645" s="7"/>
      <c r="D645" s="7"/>
      <c r="E645" s="7"/>
      <c r="F645" s="7"/>
      <c r="G645" s="7"/>
    </row>
    <row r="646" spans="1:7" ht="13" x14ac:dyDescent="0.15">
      <c r="A646" s="8"/>
      <c r="B646" s="7"/>
      <c r="C646" s="7"/>
      <c r="D646" s="7"/>
      <c r="E646" s="7"/>
      <c r="F646" s="7"/>
      <c r="G646" s="7"/>
    </row>
    <row r="647" spans="1:7" ht="13" x14ac:dyDescent="0.15">
      <c r="A647" s="8"/>
      <c r="B647" s="7"/>
      <c r="C647" s="7"/>
      <c r="D647" s="7"/>
      <c r="E647" s="7"/>
      <c r="F647" s="7"/>
      <c r="G647" s="7"/>
    </row>
    <row r="648" spans="1:7" ht="13" x14ac:dyDescent="0.15">
      <c r="A648" s="8"/>
      <c r="B648" s="7"/>
      <c r="C648" s="7"/>
      <c r="D648" s="7"/>
      <c r="E648" s="7"/>
      <c r="F648" s="7"/>
      <c r="G648" s="7"/>
    </row>
    <row r="649" spans="1:7" ht="13" x14ac:dyDescent="0.15">
      <c r="A649" s="8"/>
      <c r="B649" s="7"/>
      <c r="C649" s="7"/>
      <c r="D649" s="7"/>
      <c r="E649" s="7"/>
      <c r="F649" s="7"/>
      <c r="G649" s="7"/>
    </row>
    <row r="650" spans="1:7" ht="13" x14ac:dyDescent="0.15">
      <c r="A650" s="8"/>
      <c r="B650" s="7"/>
      <c r="C650" s="7"/>
      <c r="D650" s="7"/>
      <c r="E650" s="7"/>
      <c r="F650" s="7"/>
      <c r="G650" s="7"/>
    </row>
    <row r="651" spans="1:7" ht="13" x14ac:dyDescent="0.15">
      <c r="A651" s="8"/>
      <c r="B651" s="7"/>
      <c r="C651" s="7"/>
      <c r="D651" s="7"/>
      <c r="E651" s="7"/>
      <c r="F651" s="7"/>
      <c r="G651" s="7"/>
    </row>
    <row r="652" spans="1:7" ht="13" x14ac:dyDescent="0.15">
      <c r="A652" s="8"/>
      <c r="B652" s="7"/>
      <c r="C652" s="7"/>
      <c r="D652" s="7"/>
      <c r="E652" s="7"/>
      <c r="F652" s="7"/>
      <c r="G652" s="7"/>
    </row>
    <row r="653" spans="1:7" ht="13" x14ac:dyDescent="0.15">
      <c r="A653" s="8"/>
      <c r="B653" s="7"/>
      <c r="C653" s="7"/>
      <c r="D653" s="7"/>
      <c r="E653" s="7"/>
      <c r="F653" s="7"/>
      <c r="G653" s="7"/>
    </row>
    <row r="654" spans="1:7" ht="13" x14ac:dyDescent="0.15">
      <c r="A654" s="8"/>
      <c r="B654" s="7"/>
      <c r="C654" s="7"/>
      <c r="D654" s="7"/>
      <c r="E654" s="7"/>
      <c r="F654" s="7"/>
      <c r="G654" s="7"/>
    </row>
    <row r="655" spans="1:7" ht="13" x14ac:dyDescent="0.15">
      <c r="A655" s="8"/>
      <c r="B655" s="7"/>
      <c r="C655" s="7"/>
      <c r="D655" s="7"/>
      <c r="E655" s="7"/>
      <c r="F655" s="7"/>
      <c r="G655" s="7"/>
    </row>
    <row r="656" spans="1:7" ht="13" x14ac:dyDescent="0.15">
      <c r="A656" s="8"/>
      <c r="B656" s="7"/>
      <c r="C656" s="7"/>
      <c r="D656" s="7"/>
      <c r="E656" s="7"/>
      <c r="F656" s="7"/>
      <c r="G656" s="7"/>
    </row>
    <row r="657" spans="1:7" ht="13" x14ac:dyDescent="0.15">
      <c r="A657" s="8"/>
      <c r="B657" s="7"/>
      <c r="C657" s="7"/>
      <c r="D657" s="7"/>
      <c r="E657" s="7"/>
      <c r="F657" s="7"/>
      <c r="G657" s="7"/>
    </row>
    <row r="658" spans="1:7" ht="13" x14ac:dyDescent="0.15">
      <c r="A658" s="8"/>
      <c r="B658" s="7"/>
      <c r="C658" s="7"/>
      <c r="D658" s="7"/>
      <c r="E658" s="7"/>
      <c r="F658" s="7"/>
      <c r="G658" s="7"/>
    </row>
    <row r="659" spans="1:7" ht="13" x14ac:dyDescent="0.15">
      <c r="A659" s="8"/>
      <c r="B659" s="7"/>
      <c r="C659" s="7"/>
      <c r="D659" s="7"/>
      <c r="E659" s="7"/>
      <c r="F659" s="7"/>
      <c r="G659" s="7"/>
    </row>
    <row r="660" spans="1:7" ht="13" x14ac:dyDescent="0.15">
      <c r="A660" s="8"/>
      <c r="B660" s="7"/>
      <c r="C660" s="7"/>
      <c r="D660" s="7"/>
      <c r="E660" s="7"/>
      <c r="F660" s="7"/>
      <c r="G660" s="7"/>
    </row>
    <row r="661" spans="1:7" ht="13" x14ac:dyDescent="0.15">
      <c r="A661" s="8"/>
      <c r="B661" s="7"/>
      <c r="C661" s="7"/>
      <c r="D661" s="7"/>
      <c r="E661" s="7"/>
      <c r="F661" s="7"/>
      <c r="G661" s="7"/>
    </row>
    <row r="662" spans="1:7" ht="13" x14ac:dyDescent="0.15">
      <c r="A662" s="8"/>
      <c r="B662" s="7"/>
      <c r="C662" s="7"/>
      <c r="D662" s="7"/>
      <c r="E662" s="7"/>
      <c r="F662" s="7"/>
      <c r="G662" s="7"/>
    </row>
    <row r="663" spans="1:7" ht="13" x14ac:dyDescent="0.15">
      <c r="A663" s="8"/>
      <c r="B663" s="7"/>
      <c r="C663" s="7"/>
      <c r="D663" s="7"/>
      <c r="E663" s="7"/>
      <c r="F663" s="7"/>
      <c r="G663" s="7"/>
    </row>
    <row r="664" spans="1:7" ht="13" x14ac:dyDescent="0.15">
      <c r="A664" s="8"/>
      <c r="B664" s="7"/>
      <c r="C664" s="7"/>
      <c r="D664" s="7"/>
      <c r="E664" s="7"/>
      <c r="F664" s="7"/>
      <c r="G664" s="7"/>
    </row>
    <row r="665" spans="1:7" ht="13" x14ac:dyDescent="0.15">
      <c r="A665" s="8"/>
      <c r="B665" s="7"/>
      <c r="C665" s="7"/>
      <c r="D665" s="7"/>
      <c r="E665" s="7"/>
      <c r="F665" s="7"/>
      <c r="G665" s="7"/>
    </row>
    <row r="666" spans="1:7" ht="13" x14ac:dyDescent="0.15">
      <c r="A666" s="8"/>
      <c r="B666" s="7"/>
      <c r="C666" s="7"/>
      <c r="D666" s="7"/>
      <c r="E666" s="7"/>
      <c r="F666" s="7"/>
      <c r="G666" s="7"/>
    </row>
    <row r="667" spans="1:7" ht="13" x14ac:dyDescent="0.15">
      <c r="A667" s="8"/>
      <c r="B667" s="7"/>
      <c r="C667" s="7"/>
      <c r="D667" s="7"/>
      <c r="E667" s="7"/>
      <c r="F667" s="7"/>
      <c r="G667" s="7"/>
    </row>
    <row r="668" spans="1:7" ht="13" x14ac:dyDescent="0.15">
      <c r="A668" s="8"/>
      <c r="B668" s="7"/>
      <c r="C668" s="7"/>
      <c r="D668" s="7"/>
      <c r="E668" s="7"/>
      <c r="F668" s="7"/>
      <c r="G668" s="7"/>
    </row>
    <row r="669" spans="1:7" ht="13" x14ac:dyDescent="0.15">
      <c r="A669" s="8"/>
      <c r="B669" s="7"/>
      <c r="C669" s="7"/>
      <c r="D669" s="7"/>
      <c r="E669" s="7"/>
      <c r="F669" s="7"/>
      <c r="G669" s="7"/>
    </row>
    <row r="670" spans="1:7" ht="13" x14ac:dyDescent="0.15">
      <c r="A670" s="8"/>
      <c r="B670" s="7"/>
      <c r="C670" s="7"/>
      <c r="D670" s="7"/>
      <c r="E670" s="7"/>
      <c r="F670" s="7"/>
      <c r="G670" s="7"/>
    </row>
    <row r="671" spans="1:7" ht="13" x14ac:dyDescent="0.15">
      <c r="A671" s="8"/>
      <c r="B671" s="7"/>
      <c r="C671" s="7"/>
      <c r="D671" s="7"/>
      <c r="E671" s="7"/>
      <c r="F671" s="7"/>
      <c r="G671" s="7"/>
    </row>
    <row r="672" spans="1:7" ht="13" x14ac:dyDescent="0.15">
      <c r="A672" s="8"/>
      <c r="B672" s="7"/>
      <c r="C672" s="7"/>
      <c r="D672" s="7"/>
      <c r="E672" s="7"/>
      <c r="F672" s="7"/>
      <c r="G672" s="7"/>
    </row>
    <row r="673" spans="1:7" ht="13" x14ac:dyDescent="0.15">
      <c r="A673" s="8"/>
      <c r="B673" s="7"/>
      <c r="C673" s="7"/>
      <c r="D673" s="7"/>
      <c r="E673" s="7"/>
      <c r="F673" s="7"/>
      <c r="G673" s="7"/>
    </row>
    <row r="674" spans="1:7" ht="13" x14ac:dyDescent="0.15">
      <c r="A674" s="8"/>
      <c r="B674" s="7"/>
      <c r="C674" s="7"/>
      <c r="D674" s="7"/>
      <c r="E674" s="7"/>
      <c r="F674" s="7"/>
      <c r="G674" s="7"/>
    </row>
    <row r="675" spans="1:7" ht="13" x14ac:dyDescent="0.15">
      <c r="A675" s="8"/>
      <c r="B675" s="7"/>
      <c r="C675" s="7"/>
      <c r="D675" s="7"/>
      <c r="E675" s="7"/>
      <c r="F675" s="7"/>
      <c r="G675" s="7"/>
    </row>
    <row r="676" spans="1:7" ht="13" x14ac:dyDescent="0.15">
      <c r="A676" s="8"/>
      <c r="B676" s="7"/>
      <c r="C676" s="7"/>
      <c r="D676" s="7"/>
      <c r="E676" s="7"/>
      <c r="F676" s="7"/>
      <c r="G676" s="7"/>
    </row>
    <row r="677" spans="1:7" ht="13" x14ac:dyDescent="0.15">
      <c r="A677" s="8"/>
      <c r="B677" s="7"/>
      <c r="C677" s="7"/>
      <c r="D677" s="7"/>
      <c r="E677" s="7"/>
      <c r="F677" s="7"/>
      <c r="G677" s="7"/>
    </row>
    <row r="678" spans="1:7" ht="13" x14ac:dyDescent="0.15">
      <c r="A678" s="8"/>
      <c r="B678" s="7"/>
      <c r="C678" s="7"/>
      <c r="D678" s="7"/>
      <c r="E678" s="7"/>
      <c r="F678" s="7"/>
      <c r="G678" s="7"/>
    </row>
    <row r="679" spans="1:7" ht="13" x14ac:dyDescent="0.15">
      <c r="A679" s="8"/>
      <c r="B679" s="7"/>
      <c r="C679" s="7"/>
      <c r="D679" s="7"/>
      <c r="E679" s="7"/>
      <c r="F679" s="7"/>
      <c r="G679" s="7"/>
    </row>
    <row r="680" spans="1:7" ht="13" x14ac:dyDescent="0.15">
      <c r="A680" s="8"/>
      <c r="B680" s="7"/>
      <c r="C680" s="7"/>
      <c r="D680" s="7"/>
      <c r="E680" s="7"/>
      <c r="F680" s="7"/>
      <c r="G680" s="7"/>
    </row>
    <row r="681" spans="1:7" ht="13" x14ac:dyDescent="0.15">
      <c r="A681" s="8"/>
      <c r="B681" s="7"/>
      <c r="C681" s="7"/>
      <c r="D681" s="7"/>
      <c r="E681" s="7"/>
      <c r="F681" s="7"/>
      <c r="G681" s="7"/>
    </row>
    <row r="682" spans="1:7" ht="13" x14ac:dyDescent="0.15">
      <c r="A682" s="8"/>
      <c r="B682" s="7"/>
      <c r="C682" s="7"/>
      <c r="D682" s="7"/>
      <c r="E682" s="7"/>
      <c r="F682" s="7"/>
      <c r="G682" s="7"/>
    </row>
    <row r="683" spans="1:7" ht="13" x14ac:dyDescent="0.15">
      <c r="A683" s="8"/>
      <c r="B683" s="7"/>
      <c r="C683" s="7"/>
      <c r="D683" s="7"/>
      <c r="E683" s="7"/>
      <c r="F683" s="7"/>
      <c r="G683" s="7"/>
    </row>
    <row r="684" spans="1:7" ht="13" x14ac:dyDescent="0.15">
      <c r="A684" s="8"/>
      <c r="B684" s="7"/>
      <c r="C684" s="7"/>
      <c r="D684" s="7"/>
      <c r="E684" s="7"/>
      <c r="F684" s="7"/>
      <c r="G684" s="7"/>
    </row>
    <row r="685" spans="1:7" ht="13" x14ac:dyDescent="0.15">
      <c r="A685" s="8"/>
      <c r="B685" s="7"/>
      <c r="C685" s="7"/>
      <c r="D685" s="7"/>
      <c r="E685" s="7"/>
      <c r="F685" s="7"/>
      <c r="G685" s="7"/>
    </row>
    <row r="686" spans="1:7" ht="13" x14ac:dyDescent="0.15">
      <c r="A686" s="8"/>
      <c r="B686" s="7"/>
      <c r="C686" s="7"/>
      <c r="D686" s="7"/>
      <c r="E686" s="7"/>
      <c r="F686" s="7"/>
      <c r="G686" s="7"/>
    </row>
    <row r="687" spans="1:7" ht="13" x14ac:dyDescent="0.15">
      <c r="A687" s="8"/>
      <c r="B687" s="7"/>
      <c r="C687" s="7"/>
      <c r="D687" s="7"/>
      <c r="E687" s="7"/>
      <c r="F687" s="7"/>
      <c r="G687" s="7"/>
    </row>
    <row r="688" spans="1:7" ht="13" x14ac:dyDescent="0.15">
      <c r="A688" s="8"/>
      <c r="B688" s="7"/>
      <c r="C688" s="7"/>
      <c r="D688" s="7"/>
      <c r="E688" s="7"/>
      <c r="F688" s="7"/>
      <c r="G688" s="7"/>
    </row>
    <row r="689" spans="1:7" ht="13" x14ac:dyDescent="0.15">
      <c r="A689" s="8"/>
      <c r="B689" s="7"/>
      <c r="C689" s="7"/>
      <c r="D689" s="7"/>
      <c r="E689" s="7"/>
      <c r="F689" s="7"/>
      <c r="G689" s="7"/>
    </row>
    <row r="690" spans="1:7" ht="13" x14ac:dyDescent="0.15">
      <c r="A690" s="8"/>
      <c r="B690" s="7"/>
      <c r="C690" s="7"/>
      <c r="D690" s="7"/>
      <c r="E690" s="7"/>
      <c r="F690" s="7"/>
      <c r="G690" s="7"/>
    </row>
    <row r="691" spans="1:7" ht="13" x14ac:dyDescent="0.15">
      <c r="A691" s="8"/>
      <c r="B691" s="7"/>
      <c r="C691" s="7"/>
      <c r="D691" s="7"/>
      <c r="E691" s="7"/>
      <c r="F691" s="7"/>
      <c r="G691" s="7"/>
    </row>
    <row r="692" spans="1:7" ht="13" x14ac:dyDescent="0.15">
      <c r="A692" s="8"/>
      <c r="B692" s="7"/>
      <c r="C692" s="7"/>
      <c r="D692" s="7"/>
      <c r="E692" s="7"/>
      <c r="F692" s="7"/>
      <c r="G692" s="7"/>
    </row>
    <row r="693" spans="1:7" ht="13" x14ac:dyDescent="0.15">
      <c r="A693" s="8"/>
      <c r="B693" s="7"/>
      <c r="C693" s="7"/>
      <c r="D693" s="7"/>
      <c r="E693" s="7"/>
      <c r="F693" s="7"/>
      <c r="G693" s="7"/>
    </row>
    <row r="694" spans="1:7" ht="13" x14ac:dyDescent="0.15">
      <c r="A694" s="8"/>
      <c r="B694" s="7"/>
      <c r="C694" s="7"/>
      <c r="D694" s="7"/>
      <c r="E694" s="7"/>
      <c r="F694" s="7"/>
      <c r="G694" s="7"/>
    </row>
    <row r="695" spans="1:7" ht="13" x14ac:dyDescent="0.15">
      <c r="A695" s="8"/>
      <c r="B695" s="7"/>
      <c r="C695" s="7"/>
      <c r="D695" s="7"/>
      <c r="E695" s="7"/>
      <c r="F695" s="7"/>
      <c r="G695" s="7"/>
    </row>
    <row r="696" spans="1:7" ht="13" x14ac:dyDescent="0.15">
      <c r="A696" s="8"/>
      <c r="B696" s="7"/>
      <c r="C696" s="7"/>
      <c r="D696" s="7"/>
      <c r="E696" s="7"/>
      <c r="F696" s="7"/>
      <c r="G696" s="7"/>
    </row>
    <row r="697" spans="1:7" ht="13" x14ac:dyDescent="0.15">
      <c r="A697" s="8"/>
      <c r="B697" s="7"/>
      <c r="C697" s="7"/>
      <c r="D697" s="7"/>
      <c r="E697" s="7"/>
      <c r="F697" s="7"/>
      <c r="G697" s="7"/>
    </row>
    <row r="698" spans="1:7" ht="13" x14ac:dyDescent="0.15">
      <c r="A698" s="8"/>
      <c r="B698" s="7"/>
      <c r="C698" s="7"/>
      <c r="D698" s="7"/>
      <c r="E698" s="7"/>
      <c r="F698" s="7"/>
      <c r="G698" s="7"/>
    </row>
    <row r="699" spans="1:7" ht="13" x14ac:dyDescent="0.15">
      <c r="A699" s="8"/>
      <c r="B699" s="7"/>
      <c r="C699" s="7"/>
      <c r="D699" s="7"/>
      <c r="E699" s="7"/>
      <c r="F699" s="7"/>
      <c r="G699" s="7"/>
    </row>
    <row r="700" spans="1:7" ht="13" x14ac:dyDescent="0.15">
      <c r="A700" s="8"/>
      <c r="B700" s="7"/>
      <c r="C700" s="7"/>
      <c r="D700" s="7"/>
      <c r="E700" s="7"/>
      <c r="F700" s="7"/>
      <c r="G700" s="7"/>
    </row>
    <row r="701" spans="1:7" ht="13" x14ac:dyDescent="0.15">
      <c r="A701" s="8"/>
      <c r="B701" s="7"/>
      <c r="C701" s="7"/>
      <c r="D701" s="7"/>
      <c r="E701" s="7"/>
      <c r="F701" s="7"/>
      <c r="G701" s="7"/>
    </row>
    <row r="702" spans="1:7" ht="13" x14ac:dyDescent="0.15">
      <c r="A702" s="8"/>
      <c r="B702" s="7"/>
      <c r="C702" s="7"/>
      <c r="D702" s="7"/>
      <c r="E702" s="7"/>
      <c r="F702" s="7"/>
      <c r="G702" s="7"/>
    </row>
    <row r="703" spans="1:7" ht="13" x14ac:dyDescent="0.15">
      <c r="A703" s="8"/>
      <c r="B703" s="7"/>
      <c r="C703" s="7"/>
      <c r="D703" s="7"/>
      <c r="E703" s="7"/>
      <c r="F703" s="7"/>
      <c r="G703" s="7"/>
    </row>
    <row r="704" spans="1:7" ht="13" x14ac:dyDescent="0.15">
      <c r="A704" s="8"/>
      <c r="B704" s="7"/>
      <c r="C704" s="7"/>
      <c r="D704" s="7"/>
      <c r="E704" s="7"/>
      <c r="F704" s="7"/>
      <c r="G704" s="7"/>
    </row>
    <row r="705" spans="1:7" ht="13" x14ac:dyDescent="0.15">
      <c r="A705" s="8"/>
      <c r="B705" s="7"/>
      <c r="C705" s="7"/>
      <c r="D705" s="7"/>
      <c r="E705" s="7"/>
      <c r="F705" s="7"/>
      <c r="G705" s="7"/>
    </row>
    <row r="706" spans="1:7" ht="13" x14ac:dyDescent="0.15">
      <c r="A706" s="8"/>
      <c r="B706" s="7"/>
      <c r="C706" s="7"/>
      <c r="D706" s="7"/>
      <c r="E706" s="7"/>
      <c r="F706" s="7"/>
      <c r="G706" s="7"/>
    </row>
    <row r="707" spans="1:7" ht="13" x14ac:dyDescent="0.15">
      <c r="A707" s="8"/>
      <c r="B707" s="7"/>
      <c r="C707" s="7"/>
      <c r="D707" s="7"/>
      <c r="E707" s="7"/>
      <c r="F707" s="7"/>
      <c r="G707" s="7"/>
    </row>
    <row r="708" spans="1:7" ht="13" x14ac:dyDescent="0.15">
      <c r="A708" s="8"/>
      <c r="B708" s="7"/>
      <c r="C708" s="7"/>
      <c r="D708" s="7"/>
      <c r="E708" s="7"/>
      <c r="F708" s="7"/>
      <c r="G708" s="7"/>
    </row>
    <row r="709" spans="1:7" ht="13" x14ac:dyDescent="0.15">
      <c r="A709" s="8"/>
      <c r="B709" s="7"/>
      <c r="C709" s="7"/>
      <c r="D709" s="7"/>
      <c r="E709" s="7"/>
      <c r="F709" s="7"/>
      <c r="G709" s="7"/>
    </row>
    <row r="710" spans="1:7" ht="13" x14ac:dyDescent="0.15">
      <c r="A710" s="8"/>
      <c r="B710" s="7"/>
      <c r="C710" s="7"/>
      <c r="D710" s="7"/>
      <c r="E710" s="7"/>
      <c r="F710" s="7"/>
      <c r="G710" s="7"/>
    </row>
    <row r="711" spans="1:7" ht="13" x14ac:dyDescent="0.15">
      <c r="A711" s="8"/>
      <c r="B711" s="7"/>
      <c r="C711" s="7"/>
      <c r="D711" s="7"/>
      <c r="E711" s="7"/>
      <c r="F711" s="7"/>
      <c r="G711" s="7"/>
    </row>
    <row r="712" spans="1:7" ht="13" x14ac:dyDescent="0.15">
      <c r="A712" s="8"/>
      <c r="B712" s="7"/>
      <c r="C712" s="7"/>
      <c r="D712" s="7"/>
      <c r="E712" s="7"/>
      <c r="F712" s="7"/>
      <c r="G712" s="7"/>
    </row>
    <row r="713" spans="1:7" ht="13" x14ac:dyDescent="0.15">
      <c r="A713" s="8"/>
      <c r="B713" s="7"/>
      <c r="C713" s="7"/>
      <c r="D713" s="7"/>
      <c r="E713" s="7"/>
      <c r="F713" s="7"/>
      <c r="G713" s="7"/>
    </row>
    <row r="714" spans="1:7" ht="13" x14ac:dyDescent="0.15">
      <c r="A714" s="8"/>
      <c r="B714" s="7"/>
      <c r="C714" s="7"/>
      <c r="D714" s="7"/>
      <c r="E714" s="7"/>
      <c r="F714" s="7"/>
      <c r="G714" s="7"/>
    </row>
    <row r="715" spans="1:7" ht="13" x14ac:dyDescent="0.15">
      <c r="A715" s="8"/>
      <c r="B715" s="7"/>
      <c r="C715" s="7"/>
      <c r="D715" s="7"/>
      <c r="E715" s="7"/>
      <c r="F715" s="7"/>
      <c r="G715" s="7"/>
    </row>
    <row r="716" spans="1:7" ht="13" x14ac:dyDescent="0.15">
      <c r="A716" s="8"/>
      <c r="B716" s="7"/>
      <c r="C716" s="7"/>
      <c r="D716" s="7"/>
      <c r="E716" s="7"/>
      <c r="F716" s="7"/>
      <c r="G716" s="7"/>
    </row>
    <row r="717" spans="1:7" ht="13" x14ac:dyDescent="0.15">
      <c r="A717" s="8"/>
      <c r="B717" s="7"/>
      <c r="C717" s="7"/>
      <c r="D717" s="7"/>
      <c r="E717" s="7"/>
      <c r="F717" s="7"/>
      <c r="G717" s="7"/>
    </row>
    <row r="718" spans="1:7" ht="13" x14ac:dyDescent="0.15">
      <c r="A718" s="8"/>
      <c r="B718" s="7"/>
      <c r="C718" s="7"/>
      <c r="D718" s="7"/>
      <c r="E718" s="7"/>
      <c r="F718" s="7"/>
      <c r="G718" s="7"/>
    </row>
    <row r="719" spans="1:7" ht="13" x14ac:dyDescent="0.15">
      <c r="A719" s="8"/>
      <c r="B719" s="7"/>
      <c r="C719" s="7"/>
      <c r="D719" s="7"/>
      <c r="E719" s="7"/>
      <c r="F719" s="7"/>
      <c r="G719" s="7"/>
    </row>
    <row r="720" spans="1:7" ht="13" x14ac:dyDescent="0.15">
      <c r="A720" s="8"/>
      <c r="B720" s="7"/>
      <c r="C720" s="7"/>
      <c r="D720" s="7"/>
      <c r="E720" s="7"/>
      <c r="F720" s="7"/>
      <c r="G720" s="7"/>
    </row>
    <row r="721" spans="1:7" ht="13" x14ac:dyDescent="0.15">
      <c r="A721" s="8"/>
      <c r="B721" s="7"/>
      <c r="C721" s="7"/>
      <c r="D721" s="7"/>
      <c r="E721" s="7"/>
      <c r="F721" s="7"/>
      <c r="G721" s="7"/>
    </row>
    <row r="722" spans="1:7" ht="13" x14ac:dyDescent="0.15">
      <c r="A722" s="8"/>
      <c r="B722" s="7"/>
      <c r="C722" s="7"/>
      <c r="D722" s="7"/>
      <c r="E722" s="7"/>
      <c r="F722" s="7"/>
      <c r="G722" s="7"/>
    </row>
    <row r="723" spans="1:7" ht="13" x14ac:dyDescent="0.15">
      <c r="A723" s="8"/>
      <c r="B723" s="7"/>
      <c r="C723" s="7"/>
      <c r="D723" s="7"/>
      <c r="E723" s="7"/>
      <c r="F723" s="7"/>
      <c r="G723" s="7"/>
    </row>
    <row r="724" spans="1:7" ht="13" x14ac:dyDescent="0.15">
      <c r="A724" s="8"/>
      <c r="B724" s="7"/>
      <c r="C724" s="7"/>
      <c r="D724" s="7"/>
      <c r="E724" s="7"/>
      <c r="F724" s="7"/>
      <c r="G724" s="7"/>
    </row>
    <row r="725" spans="1:7" ht="13" x14ac:dyDescent="0.15">
      <c r="A725" s="8"/>
      <c r="B725" s="7"/>
      <c r="C725" s="7"/>
      <c r="D725" s="7"/>
      <c r="E725" s="7"/>
      <c r="F725" s="7"/>
      <c r="G725" s="7"/>
    </row>
    <row r="726" spans="1:7" ht="13" x14ac:dyDescent="0.15">
      <c r="A726" s="8"/>
      <c r="B726" s="7"/>
      <c r="C726" s="7"/>
      <c r="D726" s="7"/>
      <c r="E726" s="7"/>
      <c r="F726" s="7"/>
      <c r="G726" s="7"/>
    </row>
    <row r="727" spans="1:7" ht="13" x14ac:dyDescent="0.15">
      <c r="A727" s="8"/>
      <c r="B727" s="7"/>
      <c r="C727" s="7"/>
      <c r="D727" s="7"/>
      <c r="E727" s="7"/>
      <c r="F727" s="7"/>
      <c r="G727" s="7"/>
    </row>
    <row r="728" spans="1:7" ht="13" x14ac:dyDescent="0.15">
      <c r="A728" s="8"/>
      <c r="B728" s="7"/>
      <c r="C728" s="7"/>
      <c r="D728" s="7"/>
      <c r="E728" s="7"/>
      <c r="F728" s="7"/>
      <c r="G728" s="7"/>
    </row>
    <row r="729" spans="1:7" ht="13" x14ac:dyDescent="0.15">
      <c r="A729" s="8"/>
      <c r="B729" s="7"/>
      <c r="C729" s="7"/>
      <c r="D729" s="7"/>
      <c r="E729" s="7"/>
      <c r="F729" s="7"/>
      <c r="G729" s="7"/>
    </row>
    <row r="730" spans="1:7" ht="13" x14ac:dyDescent="0.15">
      <c r="A730" s="8"/>
      <c r="B730" s="7"/>
      <c r="C730" s="7"/>
      <c r="D730" s="7"/>
      <c r="E730" s="7"/>
      <c r="F730" s="7"/>
      <c r="G730" s="7"/>
    </row>
    <row r="731" spans="1:7" ht="13" x14ac:dyDescent="0.15">
      <c r="A731" s="8"/>
      <c r="B731" s="7"/>
      <c r="C731" s="7"/>
      <c r="D731" s="7"/>
      <c r="E731" s="7"/>
      <c r="F731" s="7"/>
      <c r="G731" s="7"/>
    </row>
    <row r="732" spans="1:7" ht="13" x14ac:dyDescent="0.15">
      <c r="A732" s="8"/>
      <c r="B732" s="7"/>
      <c r="C732" s="7"/>
      <c r="D732" s="7"/>
      <c r="E732" s="7"/>
      <c r="F732" s="7"/>
      <c r="G732" s="7"/>
    </row>
    <row r="733" spans="1:7" ht="13" x14ac:dyDescent="0.15">
      <c r="A733" s="8"/>
      <c r="B733" s="7"/>
      <c r="C733" s="7"/>
      <c r="D733" s="7"/>
      <c r="E733" s="7"/>
      <c r="F733" s="7"/>
      <c r="G733" s="7"/>
    </row>
    <row r="734" spans="1:7" ht="13" x14ac:dyDescent="0.15">
      <c r="A734" s="8"/>
      <c r="B734" s="7"/>
      <c r="C734" s="7"/>
      <c r="D734" s="7"/>
      <c r="E734" s="7"/>
      <c r="F734" s="7"/>
      <c r="G734" s="7"/>
    </row>
    <row r="735" spans="1:7" ht="13" x14ac:dyDescent="0.15">
      <c r="A735" s="8"/>
      <c r="B735" s="7"/>
      <c r="C735" s="7"/>
      <c r="D735" s="7"/>
      <c r="E735" s="7"/>
      <c r="F735" s="7"/>
      <c r="G735" s="7"/>
    </row>
    <row r="736" spans="1:7" ht="13" x14ac:dyDescent="0.15">
      <c r="A736" s="8"/>
      <c r="B736" s="7"/>
      <c r="C736" s="7"/>
      <c r="D736" s="7"/>
      <c r="E736" s="7"/>
      <c r="F736" s="7"/>
      <c r="G736" s="7"/>
    </row>
    <row r="737" spans="1:7" ht="13" x14ac:dyDescent="0.15">
      <c r="A737" s="8"/>
      <c r="B737" s="7"/>
      <c r="C737" s="7"/>
      <c r="D737" s="7"/>
      <c r="E737" s="7"/>
      <c r="F737" s="7"/>
      <c r="G737" s="7"/>
    </row>
    <row r="738" spans="1:7" ht="13" x14ac:dyDescent="0.15">
      <c r="A738" s="8"/>
      <c r="B738" s="7"/>
      <c r="C738" s="7"/>
      <c r="D738" s="7"/>
      <c r="E738" s="7"/>
      <c r="F738" s="7"/>
      <c r="G738" s="7"/>
    </row>
    <row r="739" spans="1:7" ht="13" x14ac:dyDescent="0.15">
      <c r="A739" s="8"/>
      <c r="B739" s="7"/>
      <c r="C739" s="7"/>
      <c r="D739" s="7"/>
      <c r="E739" s="7"/>
      <c r="F739" s="7"/>
      <c r="G739" s="7"/>
    </row>
    <row r="740" spans="1:7" ht="13" x14ac:dyDescent="0.15">
      <c r="A740" s="8"/>
      <c r="B740" s="7"/>
      <c r="C740" s="7"/>
      <c r="D740" s="7"/>
      <c r="E740" s="7"/>
      <c r="F740" s="7"/>
      <c r="G740" s="7"/>
    </row>
    <row r="741" spans="1:7" ht="13" x14ac:dyDescent="0.15">
      <c r="A741" s="8"/>
      <c r="B741" s="7"/>
      <c r="C741" s="7"/>
      <c r="D741" s="7"/>
      <c r="E741" s="7"/>
      <c r="F741" s="7"/>
      <c r="G741" s="7"/>
    </row>
    <row r="742" spans="1:7" ht="13" x14ac:dyDescent="0.15">
      <c r="A742" s="8"/>
      <c r="B742" s="7"/>
      <c r="C742" s="7"/>
      <c r="D742" s="7"/>
      <c r="E742" s="7"/>
      <c r="F742" s="7"/>
      <c r="G742" s="7"/>
    </row>
    <row r="743" spans="1:7" ht="13" x14ac:dyDescent="0.15">
      <c r="A743" s="8"/>
      <c r="B743" s="7"/>
      <c r="C743" s="7"/>
      <c r="D743" s="7"/>
      <c r="E743" s="7"/>
      <c r="F743" s="7"/>
      <c r="G743" s="7"/>
    </row>
    <row r="744" spans="1:7" ht="13" x14ac:dyDescent="0.15">
      <c r="A744" s="8"/>
      <c r="B744" s="7"/>
      <c r="C744" s="7"/>
      <c r="D744" s="7"/>
      <c r="E744" s="7"/>
      <c r="F744" s="7"/>
      <c r="G744" s="7"/>
    </row>
    <row r="745" spans="1:7" ht="13" x14ac:dyDescent="0.15">
      <c r="A745" s="8"/>
      <c r="B745" s="7"/>
      <c r="C745" s="7"/>
      <c r="D745" s="7"/>
      <c r="E745" s="7"/>
      <c r="F745" s="7"/>
      <c r="G745" s="7"/>
    </row>
    <row r="746" spans="1:7" ht="13" x14ac:dyDescent="0.15">
      <c r="A746" s="8"/>
      <c r="B746" s="7"/>
      <c r="C746" s="7"/>
      <c r="D746" s="7"/>
      <c r="E746" s="7"/>
      <c r="F746" s="7"/>
      <c r="G746" s="7"/>
    </row>
    <row r="747" spans="1:7" ht="13" x14ac:dyDescent="0.15">
      <c r="A747" s="8"/>
      <c r="B747" s="7"/>
      <c r="C747" s="7"/>
      <c r="D747" s="7"/>
      <c r="E747" s="7"/>
      <c r="F747" s="7"/>
      <c r="G747" s="7"/>
    </row>
    <row r="748" spans="1:7" ht="13" x14ac:dyDescent="0.15">
      <c r="A748" s="8"/>
      <c r="B748" s="7"/>
      <c r="C748" s="7"/>
      <c r="D748" s="7"/>
      <c r="E748" s="7"/>
      <c r="F748" s="7"/>
      <c r="G748" s="7"/>
    </row>
    <row r="749" spans="1:7" ht="13" x14ac:dyDescent="0.15">
      <c r="A749" s="8"/>
      <c r="B749" s="7"/>
      <c r="C749" s="7"/>
      <c r="D749" s="7"/>
      <c r="E749" s="7"/>
      <c r="F749" s="7"/>
      <c r="G749" s="7"/>
    </row>
    <row r="750" spans="1:7" ht="13" x14ac:dyDescent="0.15">
      <c r="A750" s="8"/>
      <c r="B750" s="7"/>
      <c r="C750" s="7"/>
      <c r="D750" s="7"/>
      <c r="E750" s="7"/>
      <c r="F750" s="7"/>
      <c r="G750" s="7"/>
    </row>
    <row r="751" spans="1:7" ht="13" x14ac:dyDescent="0.15">
      <c r="A751" s="8"/>
      <c r="B751" s="7"/>
      <c r="C751" s="7"/>
      <c r="D751" s="7"/>
      <c r="E751" s="7"/>
      <c r="F751" s="7"/>
      <c r="G751" s="7"/>
    </row>
    <row r="752" spans="1:7" ht="13" x14ac:dyDescent="0.15">
      <c r="A752" s="8"/>
      <c r="B752" s="7"/>
      <c r="C752" s="7"/>
      <c r="D752" s="7"/>
      <c r="E752" s="7"/>
      <c r="F752" s="7"/>
      <c r="G752" s="7"/>
    </row>
    <row r="753" spans="1:7" ht="13" x14ac:dyDescent="0.15">
      <c r="A753" s="8"/>
      <c r="B753" s="7"/>
      <c r="C753" s="7"/>
      <c r="D753" s="7"/>
      <c r="E753" s="7"/>
      <c r="F753" s="7"/>
      <c r="G753" s="7"/>
    </row>
    <row r="754" spans="1:7" ht="13" x14ac:dyDescent="0.15">
      <c r="A754" s="8"/>
      <c r="B754" s="7"/>
      <c r="C754" s="7"/>
      <c r="D754" s="7"/>
      <c r="E754" s="7"/>
      <c r="F754" s="7"/>
      <c r="G754" s="7"/>
    </row>
    <row r="755" spans="1:7" ht="13" x14ac:dyDescent="0.15">
      <c r="A755" s="8"/>
      <c r="B755" s="7"/>
      <c r="C755" s="7"/>
      <c r="D755" s="7"/>
      <c r="E755" s="7"/>
      <c r="F755" s="7"/>
      <c r="G755" s="7"/>
    </row>
    <row r="756" spans="1:7" ht="13" x14ac:dyDescent="0.15">
      <c r="A756" s="8"/>
      <c r="B756" s="7"/>
      <c r="C756" s="7"/>
      <c r="D756" s="7"/>
      <c r="E756" s="7"/>
      <c r="F756" s="7"/>
      <c r="G756" s="7"/>
    </row>
    <row r="757" spans="1:7" ht="13" x14ac:dyDescent="0.15">
      <c r="A757" s="8"/>
      <c r="B757" s="7"/>
      <c r="C757" s="7"/>
      <c r="D757" s="7"/>
      <c r="E757" s="7"/>
      <c r="F757" s="7"/>
      <c r="G757" s="7"/>
    </row>
    <row r="758" spans="1:7" ht="13" x14ac:dyDescent="0.15">
      <c r="A758" s="8"/>
      <c r="B758" s="7"/>
      <c r="C758" s="7"/>
      <c r="D758" s="7"/>
      <c r="E758" s="7"/>
      <c r="F758" s="7"/>
      <c r="G758" s="7"/>
    </row>
    <row r="759" spans="1:7" ht="13" x14ac:dyDescent="0.15">
      <c r="A759" s="8"/>
      <c r="B759" s="7"/>
      <c r="C759" s="7"/>
      <c r="D759" s="7"/>
      <c r="E759" s="7"/>
      <c r="F759" s="7"/>
      <c r="G759" s="7"/>
    </row>
    <row r="760" spans="1:7" ht="13" x14ac:dyDescent="0.15">
      <c r="A760" s="8"/>
      <c r="B760" s="7"/>
      <c r="C760" s="7"/>
      <c r="D760" s="7"/>
      <c r="E760" s="7"/>
      <c r="F760" s="7"/>
      <c r="G760" s="7"/>
    </row>
    <row r="761" spans="1:7" ht="13" x14ac:dyDescent="0.15">
      <c r="A761" s="8"/>
      <c r="B761" s="7"/>
      <c r="C761" s="7"/>
      <c r="D761" s="7"/>
      <c r="E761" s="7"/>
      <c r="F761" s="7"/>
      <c r="G761" s="7"/>
    </row>
    <row r="762" spans="1:7" ht="13" x14ac:dyDescent="0.15">
      <c r="A762" s="8"/>
      <c r="B762" s="7"/>
      <c r="C762" s="7"/>
      <c r="D762" s="7"/>
      <c r="E762" s="7"/>
      <c r="F762" s="7"/>
      <c r="G762" s="7"/>
    </row>
    <row r="763" spans="1:7" ht="13" x14ac:dyDescent="0.15">
      <c r="A763" s="8"/>
      <c r="B763" s="7"/>
      <c r="C763" s="7"/>
      <c r="D763" s="7"/>
      <c r="E763" s="7"/>
      <c r="F763" s="7"/>
      <c r="G763" s="7"/>
    </row>
    <row r="764" spans="1:7" ht="13" x14ac:dyDescent="0.15">
      <c r="A764" s="8"/>
      <c r="B764" s="7"/>
      <c r="C764" s="7"/>
      <c r="D764" s="7"/>
      <c r="E764" s="7"/>
      <c r="F764" s="7"/>
      <c r="G764" s="7"/>
    </row>
    <row r="765" spans="1:7" ht="13" x14ac:dyDescent="0.15">
      <c r="A765" s="8"/>
      <c r="B765" s="7"/>
      <c r="C765" s="7"/>
      <c r="D765" s="7"/>
      <c r="E765" s="7"/>
      <c r="F765" s="7"/>
      <c r="G765" s="7"/>
    </row>
    <row r="766" spans="1:7" ht="13" x14ac:dyDescent="0.15">
      <c r="A766" s="8"/>
      <c r="B766" s="7"/>
      <c r="C766" s="7"/>
      <c r="D766" s="7"/>
      <c r="E766" s="7"/>
      <c r="F766" s="7"/>
      <c r="G766" s="7"/>
    </row>
    <row r="767" spans="1:7" ht="13" x14ac:dyDescent="0.15">
      <c r="A767" s="8"/>
      <c r="B767" s="7"/>
      <c r="C767" s="7"/>
      <c r="D767" s="7"/>
      <c r="E767" s="7"/>
      <c r="F767" s="7"/>
      <c r="G767" s="7"/>
    </row>
    <row r="768" spans="1:7" ht="13" x14ac:dyDescent="0.15">
      <c r="A768" s="8"/>
      <c r="B768" s="7"/>
      <c r="C768" s="7"/>
      <c r="D768" s="7"/>
      <c r="E768" s="7"/>
      <c r="F768" s="7"/>
      <c r="G768" s="7"/>
    </row>
    <row r="769" spans="1:7" ht="13" x14ac:dyDescent="0.15">
      <c r="A769" s="8"/>
      <c r="B769" s="7"/>
      <c r="C769" s="7"/>
      <c r="D769" s="7"/>
      <c r="E769" s="7"/>
      <c r="F769" s="7"/>
      <c r="G769" s="7"/>
    </row>
    <row r="770" spans="1:7" ht="13" x14ac:dyDescent="0.15">
      <c r="A770" s="8"/>
      <c r="B770" s="7"/>
      <c r="C770" s="7"/>
      <c r="D770" s="7"/>
      <c r="E770" s="7"/>
      <c r="F770" s="7"/>
      <c r="G770" s="7"/>
    </row>
    <row r="771" spans="1:7" ht="13" x14ac:dyDescent="0.15">
      <c r="A771" s="8"/>
      <c r="B771" s="7"/>
      <c r="C771" s="7"/>
      <c r="D771" s="7"/>
      <c r="E771" s="7"/>
      <c r="F771" s="7"/>
      <c r="G771" s="7"/>
    </row>
    <row r="772" spans="1:7" ht="13" x14ac:dyDescent="0.15">
      <c r="A772" s="8"/>
      <c r="B772" s="7"/>
      <c r="C772" s="7"/>
      <c r="D772" s="7"/>
      <c r="E772" s="7"/>
      <c r="F772" s="7"/>
      <c r="G772" s="7"/>
    </row>
    <row r="773" spans="1:7" ht="13" x14ac:dyDescent="0.15">
      <c r="A773" s="8"/>
      <c r="B773" s="7"/>
      <c r="C773" s="7"/>
      <c r="D773" s="7"/>
      <c r="E773" s="7"/>
      <c r="F773" s="7"/>
      <c r="G773" s="7"/>
    </row>
    <row r="774" spans="1:7" ht="13" x14ac:dyDescent="0.15">
      <c r="A774" s="8"/>
      <c r="B774" s="7"/>
      <c r="C774" s="7"/>
      <c r="D774" s="7"/>
      <c r="E774" s="7"/>
      <c r="F774" s="7"/>
      <c r="G774" s="7"/>
    </row>
    <row r="775" spans="1:7" ht="13" x14ac:dyDescent="0.15">
      <c r="A775" s="8"/>
      <c r="B775" s="7"/>
      <c r="C775" s="7"/>
      <c r="D775" s="7"/>
      <c r="E775" s="7"/>
      <c r="F775" s="7"/>
      <c r="G775" s="7"/>
    </row>
    <row r="776" spans="1:7" ht="13" x14ac:dyDescent="0.15">
      <c r="A776" s="8"/>
      <c r="B776" s="7"/>
      <c r="C776" s="7"/>
      <c r="D776" s="7"/>
      <c r="E776" s="7"/>
      <c r="F776" s="7"/>
      <c r="G776" s="7"/>
    </row>
    <row r="777" spans="1:7" ht="13" x14ac:dyDescent="0.15">
      <c r="A777" s="8"/>
      <c r="B777" s="7"/>
      <c r="C777" s="7"/>
      <c r="D777" s="7"/>
      <c r="E777" s="7"/>
      <c r="F777" s="7"/>
      <c r="G777" s="7"/>
    </row>
    <row r="778" spans="1:7" ht="13" x14ac:dyDescent="0.15">
      <c r="A778" s="8"/>
      <c r="B778" s="7"/>
      <c r="C778" s="7"/>
      <c r="D778" s="7"/>
      <c r="E778" s="7"/>
      <c r="F778" s="7"/>
      <c r="G778" s="7"/>
    </row>
    <row r="779" spans="1:7" ht="13" x14ac:dyDescent="0.15">
      <c r="A779" s="8"/>
      <c r="B779" s="7"/>
      <c r="C779" s="7"/>
      <c r="D779" s="7"/>
      <c r="E779" s="7"/>
      <c r="F779" s="7"/>
      <c r="G779" s="7"/>
    </row>
    <row r="780" spans="1:7" ht="13" x14ac:dyDescent="0.15">
      <c r="A780" s="8"/>
      <c r="B780" s="7"/>
      <c r="C780" s="7"/>
      <c r="D780" s="7"/>
      <c r="E780" s="7"/>
      <c r="F780" s="7"/>
      <c r="G780" s="7"/>
    </row>
    <row r="781" spans="1:7" ht="13" x14ac:dyDescent="0.15">
      <c r="A781" s="8"/>
      <c r="B781" s="7"/>
      <c r="C781" s="7"/>
      <c r="D781" s="7"/>
      <c r="E781" s="7"/>
      <c r="F781" s="7"/>
      <c r="G781" s="7"/>
    </row>
    <row r="782" spans="1:7" ht="13" x14ac:dyDescent="0.15">
      <c r="A782" s="8"/>
      <c r="B782" s="7"/>
      <c r="C782" s="7"/>
      <c r="D782" s="7"/>
      <c r="E782" s="7"/>
      <c r="F782" s="7"/>
      <c r="G782" s="7"/>
    </row>
    <row r="783" spans="1:7" ht="13" x14ac:dyDescent="0.15">
      <c r="A783" s="8"/>
      <c r="B783" s="7"/>
      <c r="C783" s="7"/>
      <c r="D783" s="7"/>
      <c r="E783" s="7"/>
      <c r="F783" s="7"/>
      <c r="G783" s="7"/>
    </row>
    <row r="784" spans="1:7" ht="13" x14ac:dyDescent="0.15">
      <c r="A784" s="8"/>
      <c r="B784" s="7"/>
      <c r="C784" s="7"/>
      <c r="D784" s="7"/>
      <c r="E784" s="7"/>
      <c r="F784" s="7"/>
      <c r="G784" s="7"/>
    </row>
    <row r="785" spans="1:7" ht="13" x14ac:dyDescent="0.15">
      <c r="A785" s="8"/>
      <c r="B785" s="7"/>
      <c r="C785" s="7"/>
      <c r="D785" s="7"/>
      <c r="E785" s="7"/>
      <c r="F785" s="7"/>
      <c r="G785" s="7"/>
    </row>
    <row r="786" spans="1:7" ht="13" x14ac:dyDescent="0.15">
      <c r="A786" s="8"/>
      <c r="B786" s="7"/>
      <c r="C786" s="7"/>
      <c r="D786" s="7"/>
      <c r="E786" s="7"/>
      <c r="F786" s="7"/>
      <c r="G786" s="7"/>
    </row>
    <row r="787" spans="1:7" ht="13" x14ac:dyDescent="0.15">
      <c r="A787" s="8"/>
      <c r="B787" s="7"/>
      <c r="C787" s="7"/>
      <c r="D787" s="7"/>
      <c r="E787" s="7"/>
      <c r="F787" s="7"/>
      <c r="G787" s="7"/>
    </row>
    <row r="788" spans="1:7" ht="13" x14ac:dyDescent="0.15">
      <c r="A788" s="8"/>
      <c r="B788" s="7"/>
      <c r="C788" s="7"/>
      <c r="D788" s="7"/>
      <c r="E788" s="7"/>
      <c r="F788" s="7"/>
      <c r="G788" s="7"/>
    </row>
    <row r="789" spans="1:7" ht="13" x14ac:dyDescent="0.15">
      <c r="A789" s="8"/>
      <c r="B789" s="7"/>
      <c r="C789" s="7"/>
      <c r="D789" s="7"/>
      <c r="E789" s="7"/>
      <c r="F789" s="7"/>
      <c r="G789" s="7"/>
    </row>
    <row r="790" spans="1:7" ht="13" x14ac:dyDescent="0.15">
      <c r="A790" s="8"/>
      <c r="B790" s="7"/>
      <c r="C790" s="7"/>
      <c r="D790" s="7"/>
      <c r="E790" s="7"/>
      <c r="F790" s="7"/>
      <c r="G790" s="7"/>
    </row>
    <row r="791" spans="1:7" ht="13" x14ac:dyDescent="0.15">
      <c r="A791" s="8"/>
      <c r="B791" s="7"/>
      <c r="C791" s="7"/>
      <c r="D791" s="7"/>
      <c r="E791" s="7"/>
      <c r="F791" s="7"/>
      <c r="G791" s="7"/>
    </row>
    <row r="792" spans="1:7" ht="13" x14ac:dyDescent="0.15">
      <c r="A792" s="8"/>
      <c r="B792" s="7"/>
      <c r="C792" s="7"/>
      <c r="D792" s="7"/>
      <c r="E792" s="7"/>
      <c r="F792" s="7"/>
      <c r="G792" s="7"/>
    </row>
    <row r="793" spans="1:7" ht="13" x14ac:dyDescent="0.15">
      <c r="A793" s="8"/>
      <c r="B793" s="7"/>
      <c r="C793" s="7"/>
      <c r="D793" s="7"/>
      <c r="E793" s="7"/>
      <c r="F793" s="7"/>
      <c r="G793" s="7"/>
    </row>
    <row r="794" spans="1:7" ht="13" x14ac:dyDescent="0.15">
      <c r="A794" s="8"/>
      <c r="B794" s="7"/>
      <c r="C794" s="7"/>
      <c r="D794" s="7"/>
      <c r="E794" s="7"/>
      <c r="F794" s="7"/>
      <c r="G794" s="7"/>
    </row>
    <row r="795" spans="1:7" ht="13" x14ac:dyDescent="0.15">
      <c r="A795" s="8"/>
      <c r="B795" s="7"/>
      <c r="C795" s="7"/>
      <c r="D795" s="7"/>
      <c r="E795" s="7"/>
      <c r="F795" s="7"/>
      <c r="G795" s="7"/>
    </row>
    <row r="796" spans="1:7" ht="13" x14ac:dyDescent="0.15">
      <c r="A796" s="8"/>
      <c r="B796" s="7"/>
      <c r="C796" s="7"/>
      <c r="D796" s="7"/>
      <c r="E796" s="7"/>
      <c r="F796" s="7"/>
      <c r="G796" s="7"/>
    </row>
    <row r="797" spans="1:7" ht="13" x14ac:dyDescent="0.15">
      <c r="A797" s="8"/>
      <c r="B797" s="7"/>
      <c r="C797" s="7"/>
      <c r="D797" s="7"/>
      <c r="E797" s="7"/>
      <c r="F797" s="7"/>
      <c r="G797" s="7"/>
    </row>
    <row r="798" spans="1:7" ht="13" x14ac:dyDescent="0.15">
      <c r="A798" s="8"/>
      <c r="B798" s="7"/>
      <c r="C798" s="7"/>
      <c r="D798" s="7"/>
      <c r="E798" s="7"/>
      <c r="F798" s="7"/>
      <c r="G798" s="7"/>
    </row>
    <row r="799" spans="1:7" ht="13" x14ac:dyDescent="0.15">
      <c r="A799" s="8"/>
      <c r="B799" s="7"/>
      <c r="C799" s="7"/>
      <c r="D799" s="7"/>
      <c r="E799" s="7"/>
      <c r="F799" s="7"/>
      <c r="G799" s="7"/>
    </row>
    <row r="800" spans="1:7" ht="13" x14ac:dyDescent="0.15">
      <c r="A800" s="8"/>
      <c r="B800" s="7"/>
      <c r="C800" s="7"/>
      <c r="D800" s="7"/>
      <c r="E800" s="7"/>
      <c r="F800" s="7"/>
      <c r="G800" s="7"/>
    </row>
    <row r="801" spans="1:7" ht="13" x14ac:dyDescent="0.15">
      <c r="A801" s="8"/>
      <c r="B801" s="7"/>
      <c r="C801" s="7"/>
      <c r="D801" s="7"/>
      <c r="E801" s="7"/>
      <c r="F801" s="7"/>
      <c r="G801" s="7"/>
    </row>
    <row r="802" spans="1:7" ht="13" x14ac:dyDescent="0.15">
      <c r="A802" s="8"/>
      <c r="B802" s="7"/>
      <c r="C802" s="7"/>
      <c r="D802" s="7"/>
      <c r="E802" s="7"/>
      <c r="F802" s="7"/>
      <c r="G802" s="7"/>
    </row>
    <row r="803" spans="1:7" ht="13" x14ac:dyDescent="0.15">
      <c r="A803" s="8"/>
      <c r="B803" s="7"/>
      <c r="C803" s="7"/>
      <c r="D803" s="7"/>
      <c r="E803" s="7"/>
      <c r="F803" s="7"/>
      <c r="G803" s="7"/>
    </row>
    <row r="804" spans="1:7" ht="13" x14ac:dyDescent="0.15">
      <c r="A804" s="8"/>
      <c r="B804" s="7"/>
      <c r="C804" s="7"/>
      <c r="D804" s="7"/>
      <c r="E804" s="7"/>
      <c r="F804" s="7"/>
      <c r="G804" s="7"/>
    </row>
    <row r="805" spans="1:7" ht="13" x14ac:dyDescent="0.15">
      <c r="A805" s="8"/>
      <c r="B805" s="7"/>
      <c r="C805" s="7"/>
      <c r="D805" s="7"/>
      <c r="E805" s="7"/>
      <c r="F805" s="7"/>
      <c r="G805" s="7"/>
    </row>
    <row r="806" spans="1:7" ht="13" x14ac:dyDescent="0.15">
      <c r="A806" s="8"/>
      <c r="B806" s="7"/>
      <c r="C806" s="7"/>
      <c r="D806" s="7"/>
      <c r="E806" s="7"/>
      <c r="F806" s="7"/>
      <c r="G806" s="7"/>
    </row>
    <row r="807" spans="1:7" ht="13" x14ac:dyDescent="0.15">
      <c r="A807" s="8"/>
      <c r="B807" s="7"/>
      <c r="C807" s="7"/>
      <c r="D807" s="7"/>
      <c r="E807" s="7"/>
      <c r="F807" s="7"/>
      <c r="G807" s="7"/>
    </row>
    <row r="808" spans="1:7" ht="13" x14ac:dyDescent="0.15">
      <c r="A808" s="8"/>
      <c r="B808" s="7"/>
      <c r="C808" s="7"/>
      <c r="D808" s="7"/>
      <c r="E808" s="7"/>
      <c r="F808" s="7"/>
      <c r="G808" s="7"/>
    </row>
    <row r="809" spans="1:7" ht="13" x14ac:dyDescent="0.15">
      <c r="A809" s="8"/>
      <c r="B809" s="7"/>
      <c r="C809" s="7"/>
      <c r="D809" s="7"/>
      <c r="E809" s="7"/>
      <c r="F809" s="7"/>
      <c r="G809" s="7"/>
    </row>
    <row r="810" spans="1:7" ht="13" x14ac:dyDescent="0.15">
      <c r="A810" s="8"/>
      <c r="B810" s="7"/>
      <c r="C810" s="7"/>
      <c r="D810" s="7"/>
      <c r="E810" s="7"/>
      <c r="F810" s="7"/>
      <c r="G810" s="7"/>
    </row>
    <row r="811" spans="1:7" ht="13" x14ac:dyDescent="0.15">
      <c r="A811" s="8"/>
      <c r="B811" s="7"/>
      <c r="C811" s="7"/>
      <c r="D811" s="7"/>
      <c r="E811" s="7"/>
      <c r="F811" s="7"/>
      <c r="G811" s="7"/>
    </row>
    <row r="812" spans="1:7" ht="13" x14ac:dyDescent="0.15">
      <c r="A812" s="8"/>
      <c r="B812" s="7"/>
      <c r="C812" s="7"/>
      <c r="D812" s="7"/>
      <c r="E812" s="7"/>
      <c r="F812" s="7"/>
      <c r="G812" s="7"/>
    </row>
    <row r="813" spans="1:7" ht="13" x14ac:dyDescent="0.15">
      <c r="A813" s="8"/>
      <c r="B813" s="7"/>
      <c r="C813" s="7"/>
      <c r="D813" s="7"/>
      <c r="E813" s="7"/>
      <c r="F813" s="7"/>
      <c r="G813" s="7"/>
    </row>
    <row r="814" spans="1:7" ht="13" x14ac:dyDescent="0.15">
      <c r="A814" s="8"/>
      <c r="B814" s="7"/>
      <c r="C814" s="7"/>
      <c r="D814" s="7"/>
      <c r="E814" s="7"/>
      <c r="F814" s="7"/>
      <c r="G814" s="7"/>
    </row>
    <row r="815" spans="1:7" ht="13" x14ac:dyDescent="0.15">
      <c r="A815" s="8"/>
      <c r="B815" s="7"/>
      <c r="C815" s="7"/>
      <c r="D815" s="7"/>
      <c r="E815" s="7"/>
      <c r="F815" s="7"/>
      <c r="G815" s="7"/>
    </row>
    <row r="816" spans="1:7" ht="13" x14ac:dyDescent="0.15">
      <c r="A816" s="8"/>
      <c r="B816" s="7"/>
      <c r="C816" s="7"/>
      <c r="D816" s="7"/>
      <c r="E816" s="7"/>
      <c r="F816" s="7"/>
      <c r="G816" s="7"/>
    </row>
    <row r="817" spans="1:7" ht="13" x14ac:dyDescent="0.15">
      <c r="A817" s="8"/>
      <c r="B817" s="7"/>
      <c r="C817" s="7"/>
      <c r="D817" s="7"/>
      <c r="E817" s="7"/>
      <c r="F817" s="7"/>
      <c r="G817" s="7"/>
    </row>
    <row r="818" spans="1:7" ht="13" x14ac:dyDescent="0.15">
      <c r="A818" s="8"/>
      <c r="B818" s="7"/>
      <c r="C818" s="7"/>
      <c r="D818" s="7"/>
      <c r="E818" s="7"/>
      <c r="F818" s="7"/>
      <c r="G818" s="7"/>
    </row>
    <row r="819" spans="1:7" ht="13" x14ac:dyDescent="0.15">
      <c r="A819" s="8"/>
      <c r="B819" s="7"/>
      <c r="C819" s="7"/>
      <c r="D819" s="7"/>
      <c r="E819" s="7"/>
      <c r="F819" s="7"/>
      <c r="G819" s="7"/>
    </row>
    <row r="820" spans="1:7" ht="13" x14ac:dyDescent="0.15">
      <c r="A820" s="8"/>
      <c r="B820" s="7"/>
      <c r="C820" s="7"/>
      <c r="D820" s="7"/>
      <c r="E820" s="7"/>
      <c r="F820" s="7"/>
      <c r="G820" s="7"/>
    </row>
    <row r="821" spans="1:7" ht="13" x14ac:dyDescent="0.15">
      <c r="A821" s="8"/>
      <c r="B821" s="7"/>
      <c r="C821" s="7"/>
      <c r="D821" s="7"/>
      <c r="E821" s="7"/>
      <c r="F821" s="7"/>
      <c r="G821" s="7"/>
    </row>
    <row r="822" spans="1:7" ht="13" x14ac:dyDescent="0.15">
      <c r="A822" s="8"/>
      <c r="B822" s="7"/>
      <c r="C822" s="7"/>
      <c r="D822" s="7"/>
      <c r="E822" s="7"/>
      <c r="F822" s="7"/>
      <c r="G822" s="7"/>
    </row>
    <row r="823" spans="1:7" ht="13" x14ac:dyDescent="0.15">
      <c r="A823" s="8"/>
      <c r="B823" s="7"/>
      <c r="C823" s="7"/>
      <c r="D823" s="7"/>
      <c r="E823" s="7"/>
      <c r="F823" s="7"/>
      <c r="G823" s="7"/>
    </row>
    <row r="824" spans="1:7" ht="13" x14ac:dyDescent="0.15">
      <c r="A824" s="8"/>
      <c r="B824" s="7"/>
      <c r="C824" s="7"/>
      <c r="D824" s="7"/>
      <c r="E824" s="7"/>
      <c r="F824" s="7"/>
      <c r="G824" s="7"/>
    </row>
    <row r="825" spans="1:7" ht="13" x14ac:dyDescent="0.15">
      <c r="A825" s="8"/>
      <c r="B825" s="7"/>
      <c r="C825" s="7"/>
      <c r="D825" s="7"/>
      <c r="E825" s="7"/>
      <c r="F825" s="7"/>
      <c r="G825" s="7"/>
    </row>
    <row r="826" spans="1:7" ht="13" x14ac:dyDescent="0.15">
      <c r="A826" s="8"/>
      <c r="B826" s="7"/>
      <c r="C826" s="7"/>
      <c r="D826" s="7"/>
      <c r="E826" s="7"/>
      <c r="F826" s="7"/>
      <c r="G826" s="7"/>
    </row>
    <row r="827" spans="1:7" ht="13" x14ac:dyDescent="0.15">
      <c r="A827" s="8"/>
      <c r="B827" s="7"/>
      <c r="C827" s="7"/>
      <c r="D827" s="7"/>
      <c r="E827" s="7"/>
      <c r="F827" s="7"/>
      <c r="G827" s="7"/>
    </row>
    <row r="828" spans="1:7" ht="13" x14ac:dyDescent="0.15">
      <c r="A828" s="8"/>
      <c r="B828" s="7"/>
      <c r="C828" s="7"/>
      <c r="D828" s="7"/>
      <c r="E828" s="7"/>
      <c r="F828" s="7"/>
      <c r="G828" s="7"/>
    </row>
    <row r="829" spans="1:7" ht="13" x14ac:dyDescent="0.15">
      <c r="A829" s="8"/>
      <c r="B829" s="7"/>
      <c r="C829" s="7"/>
      <c r="D829" s="7"/>
      <c r="E829" s="7"/>
      <c r="F829" s="7"/>
      <c r="G829" s="7"/>
    </row>
    <row r="830" spans="1:7" ht="13" x14ac:dyDescent="0.15">
      <c r="A830" s="8"/>
      <c r="B830" s="7"/>
      <c r="C830" s="7"/>
      <c r="D830" s="7"/>
      <c r="E830" s="7"/>
      <c r="F830" s="7"/>
      <c r="G830" s="7"/>
    </row>
    <row r="831" spans="1:7" ht="13" x14ac:dyDescent="0.15">
      <c r="A831" s="8"/>
      <c r="B831" s="7"/>
      <c r="C831" s="7"/>
      <c r="D831" s="7"/>
      <c r="E831" s="7"/>
      <c r="F831" s="7"/>
      <c r="G831" s="7"/>
    </row>
    <row r="832" spans="1:7" ht="13" x14ac:dyDescent="0.15">
      <c r="A832" s="8"/>
      <c r="B832" s="7"/>
      <c r="C832" s="7"/>
      <c r="D832" s="7"/>
      <c r="E832" s="7"/>
      <c r="F832" s="7"/>
      <c r="G832" s="7"/>
    </row>
    <row r="833" spans="1:7" ht="13" x14ac:dyDescent="0.15">
      <c r="A833" s="8"/>
      <c r="B833" s="7"/>
      <c r="C833" s="7"/>
      <c r="D833" s="7"/>
      <c r="E833" s="7"/>
      <c r="F833" s="7"/>
      <c r="G833" s="7"/>
    </row>
    <row r="834" spans="1:7" ht="13" x14ac:dyDescent="0.15">
      <c r="A834" s="8"/>
      <c r="B834" s="7"/>
      <c r="C834" s="7"/>
      <c r="D834" s="7"/>
      <c r="E834" s="7"/>
      <c r="F834" s="7"/>
      <c r="G834" s="7"/>
    </row>
    <row r="835" spans="1:7" ht="13" x14ac:dyDescent="0.15">
      <c r="A835" s="8"/>
      <c r="B835" s="7"/>
      <c r="C835" s="7"/>
      <c r="D835" s="7"/>
      <c r="E835" s="7"/>
      <c r="F835" s="7"/>
      <c r="G835" s="7"/>
    </row>
    <row r="836" spans="1:7" ht="13" x14ac:dyDescent="0.15">
      <c r="A836" s="8"/>
      <c r="B836" s="7"/>
      <c r="C836" s="7"/>
      <c r="D836" s="7"/>
      <c r="E836" s="7"/>
      <c r="F836" s="7"/>
      <c r="G836" s="7"/>
    </row>
    <row r="837" spans="1:7" ht="13" x14ac:dyDescent="0.15">
      <c r="A837" s="8"/>
      <c r="B837" s="7"/>
      <c r="C837" s="7"/>
      <c r="D837" s="7"/>
      <c r="E837" s="7"/>
      <c r="F837" s="7"/>
      <c r="G837" s="7"/>
    </row>
    <row r="838" spans="1:7" ht="13" x14ac:dyDescent="0.15">
      <c r="A838" s="8"/>
      <c r="B838" s="7"/>
      <c r="C838" s="7"/>
      <c r="D838" s="7"/>
      <c r="E838" s="7"/>
      <c r="F838" s="7"/>
      <c r="G838" s="7"/>
    </row>
    <row r="839" spans="1:7" ht="13" x14ac:dyDescent="0.15">
      <c r="A839" s="8"/>
      <c r="B839" s="7"/>
      <c r="C839" s="7"/>
      <c r="D839" s="7"/>
      <c r="E839" s="7"/>
      <c r="F839" s="7"/>
      <c r="G839" s="7"/>
    </row>
    <row r="840" spans="1:7" ht="13" x14ac:dyDescent="0.15">
      <c r="A840" s="8"/>
      <c r="B840" s="7"/>
      <c r="C840" s="7"/>
      <c r="D840" s="7"/>
      <c r="E840" s="7"/>
      <c r="F840" s="7"/>
      <c r="G840" s="7"/>
    </row>
    <row r="841" spans="1:7" ht="13" x14ac:dyDescent="0.15">
      <c r="A841" s="8"/>
      <c r="B841" s="7"/>
      <c r="C841" s="7"/>
      <c r="D841" s="7"/>
      <c r="E841" s="7"/>
      <c r="F841" s="7"/>
      <c r="G841" s="7"/>
    </row>
    <row r="842" spans="1:7" ht="13" x14ac:dyDescent="0.15">
      <c r="A842" s="8"/>
      <c r="B842" s="7"/>
      <c r="C842" s="7"/>
      <c r="D842" s="7"/>
      <c r="E842" s="7"/>
      <c r="F842" s="7"/>
      <c r="G842" s="7"/>
    </row>
    <row r="843" spans="1:7" ht="13" x14ac:dyDescent="0.15">
      <c r="A843" s="8"/>
      <c r="B843" s="7"/>
      <c r="C843" s="7"/>
      <c r="D843" s="7"/>
      <c r="E843" s="7"/>
      <c r="F843" s="7"/>
      <c r="G843" s="7"/>
    </row>
    <row r="844" spans="1:7" ht="13" x14ac:dyDescent="0.15">
      <c r="A844" s="8"/>
      <c r="B844" s="7"/>
      <c r="C844" s="7"/>
      <c r="D844" s="7"/>
      <c r="E844" s="7"/>
      <c r="F844" s="7"/>
      <c r="G844" s="7"/>
    </row>
    <row r="845" spans="1:7" ht="13" x14ac:dyDescent="0.15">
      <c r="A845" s="8"/>
      <c r="B845" s="7"/>
      <c r="C845" s="7"/>
      <c r="D845" s="7"/>
      <c r="E845" s="7"/>
      <c r="F845" s="7"/>
      <c r="G845" s="7"/>
    </row>
    <row r="846" spans="1:7" ht="13" x14ac:dyDescent="0.15">
      <c r="A846" s="8"/>
      <c r="B846" s="7"/>
      <c r="C846" s="7"/>
      <c r="D846" s="7"/>
      <c r="E846" s="7"/>
      <c r="F846" s="7"/>
      <c r="G846" s="7"/>
    </row>
    <row r="847" spans="1:7" ht="13" x14ac:dyDescent="0.15">
      <c r="A847" s="8"/>
      <c r="B847" s="7"/>
      <c r="C847" s="7"/>
      <c r="D847" s="7"/>
      <c r="E847" s="7"/>
      <c r="F847" s="7"/>
      <c r="G847" s="7"/>
    </row>
    <row r="848" spans="1:7" ht="13" x14ac:dyDescent="0.15">
      <c r="A848" s="8"/>
      <c r="B848" s="7"/>
      <c r="C848" s="7"/>
      <c r="D848" s="7"/>
      <c r="E848" s="7"/>
      <c r="F848" s="7"/>
      <c r="G848" s="7"/>
    </row>
    <row r="849" spans="1:7" ht="13" x14ac:dyDescent="0.15">
      <c r="A849" s="8"/>
      <c r="B849" s="7"/>
      <c r="C849" s="7"/>
      <c r="D849" s="7"/>
      <c r="E849" s="7"/>
      <c r="F849" s="7"/>
      <c r="G849" s="7"/>
    </row>
    <row r="850" spans="1:7" ht="13" x14ac:dyDescent="0.15">
      <c r="A850" s="8"/>
      <c r="B850" s="7"/>
      <c r="C850" s="7"/>
      <c r="D850" s="7"/>
      <c r="E850" s="7"/>
      <c r="F850" s="7"/>
      <c r="G850" s="7"/>
    </row>
    <row r="851" spans="1:7" ht="13" x14ac:dyDescent="0.15">
      <c r="A851" s="8"/>
      <c r="B851" s="7"/>
      <c r="C851" s="7"/>
      <c r="D851" s="7"/>
      <c r="E851" s="7"/>
      <c r="F851" s="7"/>
      <c r="G851" s="7"/>
    </row>
    <row r="852" spans="1:7" ht="13" x14ac:dyDescent="0.15">
      <c r="A852" s="8"/>
      <c r="B852" s="7"/>
      <c r="C852" s="7"/>
      <c r="D852" s="7"/>
      <c r="E852" s="7"/>
      <c r="F852" s="7"/>
      <c r="G852" s="7"/>
    </row>
    <row r="853" spans="1:7" ht="13" x14ac:dyDescent="0.15">
      <c r="A853" s="8"/>
      <c r="B853" s="7"/>
      <c r="C853" s="7"/>
      <c r="D853" s="7"/>
      <c r="E853" s="7"/>
      <c r="F853" s="7"/>
      <c r="G853" s="7"/>
    </row>
    <row r="854" spans="1:7" ht="13" x14ac:dyDescent="0.15">
      <c r="A854" s="8"/>
      <c r="B854" s="7"/>
      <c r="C854" s="7"/>
      <c r="D854" s="7"/>
      <c r="E854" s="7"/>
      <c r="F854" s="7"/>
      <c r="G854" s="7"/>
    </row>
    <row r="855" spans="1:7" ht="13" x14ac:dyDescent="0.15">
      <c r="A855" s="8"/>
      <c r="B855" s="7"/>
      <c r="C855" s="7"/>
      <c r="D855" s="7"/>
      <c r="E855" s="7"/>
      <c r="F855" s="7"/>
      <c r="G855" s="7"/>
    </row>
    <row r="856" spans="1:7" ht="13" x14ac:dyDescent="0.15">
      <c r="A856" s="8"/>
      <c r="B856" s="7"/>
      <c r="C856" s="7"/>
      <c r="D856" s="7"/>
      <c r="E856" s="7"/>
      <c r="F856" s="7"/>
      <c r="G856" s="7"/>
    </row>
    <row r="857" spans="1:7" ht="13" x14ac:dyDescent="0.15">
      <c r="A857" s="8"/>
      <c r="B857" s="7"/>
      <c r="C857" s="7"/>
      <c r="D857" s="7"/>
      <c r="E857" s="7"/>
      <c r="F857" s="7"/>
      <c r="G857" s="7"/>
    </row>
    <row r="858" spans="1:7" ht="13" x14ac:dyDescent="0.15">
      <c r="A858" s="8"/>
      <c r="B858" s="7"/>
      <c r="C858" s="7"/>
      <c r="D858" s="7"/>
      <c r="E858" s="7"/>
      <c r="F858" s="7"/>
      <c r="G858" s="7"/>
    </row>
    <row r="859" spans="1:7" ht="13" x14ac:dyDescent="0.15">
      <c r="A859" s="8"/>
      <c r="B859" s="7"/>
      <c r="C859" s="7"/>
      <c r="D859" s="7"/>
      <c r="E859" s="7"/>
      <c r="F859" s="7"/>
      <c r="G859" s="7"/>
    </row>
    <row r="860" spans="1:7" ht="13" x14ac:dyDescent="0.15">
      <c r="A860" s="8"/>
      <c r="B860" s="7"/>
      <c r="C860" s="7"/>
      <c r="D860" s="7"/>
      <c r="E860" s="7"/>
      <c r="F860" s="7"/>
      <c r="G860" s="7"/>
    </row>
    <row r="861" spans="1:7" ht="13" x14ac:dyDescent="0.15">
      <c r="A861" s="8"/>
      <c r="B861" s="7"/>
      <c r="C861" s="7"/>
      <c r="D861" s="7"/>
      <c r="E861" s="7"/>
      <c r="F861" s="7"/>
      <c r="G861" s="7"/>
    </row>
    <row r="862" spans="1:7" ht="13" x14ac:dyDescent="0.15">
      <c r="A862" s="8"/>
      <c r="B862" s="7"/>
      <c r="C862" s="7"/>
      <c r="D862" s="7"/>
      <c r="E862" s="7"/>
      <c r="F862" s="7"/>
      <c r="G862" s="7"/>
    </row>
    <row r="863" spans="1:7" ht="13" x14ac:dyDescent="0.15">
      <c r="A863" s="8"/>
      <c r="B863" s="7"/>
      <c r="C863" s="7"/>
      <c r="D863" s="7"/>
      <c r="E863" s="7"/>
      <c r="F863" s="7"/>
      <c r="G863" s="7"/>
    </row>
    <row r="864" spans="1:7" ht="13" x14ac:dyDescent="0.15">
      <c r="A864" s="8"/>
      <c r="B864" s="7"/>
      <c r="C864" s="7"/>
      <c r="D864" s="7"/>
      <c r="E864" s="7"/>
      <c r="F864" s="7"/>
      <c r="G864" s="7"/>
    </row>
    <row r="865" spans="1:7" ht="13" x14ac:dyDescent="0.15">
      <c r="A865" s="8"/>
      <c r="B865" s="7"/>
      <c r="C865" s="7"/>
      <c r="D865" s="7"/>
      <c r="E865" s="7"/>
      <c r="F865" s="7"/>
      <c r="G865" s="7"/>
    </row>
    <row r="866" spans="1:7" ht="13" x14ac:dyDescent="0.15">
      <c r="A866" s="8"/>
      <c r="B866" s="7"/>
      <c r="C866" s="7"/>
      <c r="D866" s="7"/>
      <c r="E866" s="7"/>
      <c r="F866" s="7"/>
      <c r="G866" s="7"/>
    </row>
    <row r="867" spans="1:7" ht="13" x14ac:dyDescent="0.15">
      <c r="A867" s="8"/>
      <c r="B867" s="7"/>
      <c r="C867" s="7"/>
      <c r="D867" s="7"/>
      <c r="E867" s="7"/>
      <c r="F867" s="7"/>
      <c r="G867" s="7"/>
    </row>
    <row r="868" spans="1:7" ht="13" x14ac:dyDescent="0.15">
      <c r="A868" s="8"/>
      <c r="B868" s="7"/>
      <c r="C868" s="7"/>
      <c r="D868" s="7"/>
      <c r="E868" s="7"/>
      <c r="F868" s="7"/>
      <c r="G868" s="7"/>
    </row>
    <row r="869" spans="1:7" ht="13" x14ac:dyDescent="0.15">
      <c r="A869" s="8"/>
      <c r="B869" s="7"/>
      <c r="C869" s="7"/>
      <c r="D869" s="7"/>
      <c r="E869" s="7"/>
      <c r="F869" s="7"/>
      <c r="G869" s="7"/>
    </row>
    <row r="870" spans="1:7" ht="13" x14ac:dyDescent="0.15">
      <c r="A870" s="8"/>
      <c r="B870" s="7"/>
      <c r="C870" s="7"/>
      <c r="D870" s="7"/>
      <c r="E870" s="7"/>
      <c r="F870" s="7"/>
      <c r="G870" s="7"/>
    </row>
    <row r="871" spans="1:7" ht="13" x14ac:dyDescent="0.15">
      <c r="A871" s="8"/>
      <c r="B871" s="7"/>
      <c r="C871" s="7"/>
      <c r="D871" s="7"/>
      <c r="E871" s="7"/>
      <c r="F871" s="7"/>
      <c r="G871" s="7"/>
    </row>
    <row r="872" spans="1:7" ht="13" x14ac:dyDescent="0.15">
      <c r="A872" s="8"/>
      <c r="B872" s="7"/>
      <c r="C872" s="7"/>
      <c r="D872" s="7"/>
      <c r="E872" s="7"/>
      <c r="F872" s="7"/>
      <c r="G872" s="7"/>
    </row>
    <row r="873" spans="1:7" ht="13" x14ac:dyDescent="0.15">
      <c r="A873" s="8"/>
      <c r="B873" s="7"/>
      <c r="C873" s="7"/>
      <c r="D873" s="7"/>
      <c r="E873" s="7"/>
      <c r="F873" s="7"/>
      <c r="G873" s="7"/>
    </row>
    <row r="874" spans="1:7" ht="13" x14ac:dyDescent="0.15">
      <c r="A874" s="8"/>
      <c r="B874" s="7"/>
      <c r="C874" s="7"/>
      <c r="D874" s="7"/>
      <c r="E874" s="7"/>
      <c r="F874" s="7"/>
      <c r="G874" s="7"/>
    </row>
    <row r="875" spans="1:7" ht="13" x14ac:dyDescent="0.15">
      <c r="A875" s="8"/>
      <c r="B875" s="7"/>
      <c r="C875" s="7"/>
      <c r="D875" s="7"/>
      <c r="E875" s="7"/>
      <c r="F875" s="7"/>
      <c r="G875" s="7"/>
    </row>
    <row r="876" spans="1:7" ht="13" x14ac:dyDescent="0.15">
      <c r="A876" s="8"/>
      <c r="B876" s="7"/>
      <c r="C876" s="7"/>
      <c r="D876" s="7"/>
      <c r="E876" s="7"/>
      <c r="F876" s="7"/>
      <c r="G876" s="7"/>
    </row>
    <row r="877" spans="1:7" ht="13" x14ac:dyDescent="0.15">
      <c r="A877" s="8"/>
      <c r="B877" s="7"/>
      <c r="C877" s="7"/>
      <c r="D877" s="7"/>
      <c r="E877" s="7"/>
      <c r="F877" s="7"/>
      <c r="G877" s="7"/>
    </row>
    <row r="878" spans="1:7" ht="13" x14ac:dyDescent="0.15">
      <c r="A878" s="8"/>
      <c r="B878" s="7"/>
      <c r="C878" s="7"/>
      <c r="D878" s="7"/>
      <c r="E878" s="7"/>
      <c r="F878" s="7"/>
      <c r="G878" s="7"/>
    </row>
    <row r="879" spans="1:7" ht="13" x14ac:dyDescent="0.15">
      <c r="A879" s="8"/>
      <c r="B879" s="7"/>
      <c r="C879" s="7"/>
      <c r="D879" s="7"/>
      <c r="E879" s="7"/>
      <c r="F879" s="7"/>
      <c r="G879" s="7"/>
    </row>
    <row r="880" spans="1:7" ht="13" x14ac:dyDescent="0.15">
      <c r="A880" s="8"/>
      <c r="B880" s="7"/>
      <c r="C880" s="7"/>
      <c r="D880" s="7"/>
      <c r="E880" s="7"/>
      <c r="F880" s="7"/>
      <c r="G880" s="7"/>
    </row>
    <row r="881" spans="1:7" ht="13" x14ac:dyDescent="0.15">
      <c r="A881" s="8"/>
      <c r="B881" s="7"/>
      <c r="C881" s="7"/>
      <c r="D881" s="7"/>
      <c r="E881" s="7"/>
      <c r="F881" s="7"/>
      <c r="G881" s="7"/>
    </row>
    <row r="882" spans="1:7" ht="13" x14ac:dyDescent="0.15">
      <c r="A882" s="8"/>
      <c r="B882" s="7"/>
      <c r="C882" s="7"/>
      <c r="D882" s="7"/>
      <c r="E882" s="7"/>
      <c r="F882" s="7"/>
      <c r="G882" s="7"/>
    </row>
    <row r="883" spans="1:7" ht="13" x14ac:dyDescent="0.15">
      <c r="A883" s="8"/>
      <c r="B883" s="7"/>
      <c r="C883" s="7"/>
      <c r="D883" s="7"/>
      <c r="E883" s="7"/>
      <c r="F883" s="7"/>
      <c r="G883" s="7"/>
    </row>
    <row r="884" spans="1:7" ht="13" x14ac:dyDescent="0.15">
      <c r="A884" s="8"/>
      <c r="B884" s="7"/>
      <c r="C884" s="7"/>
      <c r="D884" s="7"/>
      <c r="E884" s="7"/>
      <c r="F884" s="7"/>
      <c r="G884" s="7"/>
    </row>
    <row r="885" spans="1:7" ht="13" x14ac:dyDescent="0.15">
      <c r="A885" s="8"/>
      <c r="B885" s="7"/>
      <c r="C885" s="7"/>
      <c r="D885" s="7"/>
      <c r="E885" s="7"/>
      <c r="F885" s="7"/>
      <c r="G885" s="7"/>
    </row>
    <row r="886" spans="1:7" ht="13" x14ac:dyDescent="0.15">
      <c r="A886" s="8"/>
      <c r="B886" s="7"/>
      <c r="C886" s="7"/>
      <c r="D886" s="7"/>
      <c r="E886" s="7"/>
      <c r="F886" s="7"/>
      <c r="G886" s="7"/>
    </row>
    <row r="887" spans="1:7" ht="13" x14ac:dyDescent="0.15">
      <c r="A887" s="8"/>
      <c r="B887" s="7"/>
      <c r="C887" s="7"/>
      <c r="D887" s="7"/>
      <c r="E887" s="7"/>
      <c r="F887" s="7"/>
      <c r="G887" s="7"/>
    </row>
    <row r="888" spans="1:7" ht="13" x14ac:dyDescent="0.15">
      <c r="A888" s="8"/>
      <c r="B888" s="7"/>
      <c r="C888" s="7"/>
      <c r="D888" s="7"/>
      <c r="E888" s="7"/>
      <c r="F888" s="7"/>
      <c r="G888" s="7"/>
    </row>
    <row r="889" spans="1:7" ht="13" x14ac:dyDescent="0.15">
      <c r="A889" s="8"/>
      <c r="B889" s="7"/>
      <c r="C889" s="7"/>
      <c r="D889" s="7"/>
      <c r="E889" s="7"/>
      <c r="F889" s="7"/>
      <c r="G889" s="7"/>
    </row>
    <row r="890" spans="1:7" ht="13" x14ac:dyDescent="0.15">
      <c r="A890" s="8"/>
      <c r="B890" s="7"/>
      <c r="C890" s="7"/>
      <c r="D890" s="7"/>
      <c r="E890" s="7"/>
      <c r="F890" s="7"/>
      <c r="G890" s="7"/>
    </row>
    <row r="891" spans="1:7" ht="13" x14ac:dyDescent="0.15">
      <c r="A891" s="8"/>
      <c r="B891" s="7"/>
      <c r="C891" s="7"/>
      <c r="D891" s="7"/>
      <c r="E891" s="7"/>
      <c r="F891" s="7"/>
      <c r="G891" s="7"/>
    </row>
    <row r="892" spans="1:7" ht="13" x14ac:dyDescent="0.15">
      <c r="A892" s="8"/>
      <c r="B892" s="7"/>
      <c r="C892" s="7"/>
      <c r="D892" s="7"/>
      <c r="E892" s="7"/>
      <c r="F892" s="7"/>
      <c r="G892" s="7"/>
    </row>
    <row r="893" spans="1:7" ht="13" x14ac:dyDescent="0.15">
      <c r="A893" s="8"/>
      <c r="B893" s="7"/>
      <c r="C893" s="7"/>
      <c r="D893" s="7"/>
      <c r="E893" s="7"/>
      <c r="F893" s="7"/>
      <c r="G893" s="7"/>
    </row>
    <row r="894" spans="1:7" ht="13" x14ac:dyDescent="0.15">
      <c r="A894" s="8"/>
      <c r="B894" s="7"/>
      <c r="C894" s="7"/>
      <c r="D894" s="7"/>
      <c r="E894" s="7"/>
      <c r="F894" s="7"/>
      <c r="G894" s="7"/>
    </row>
    <row r="895" spans="1:7" ht="13" x14ac:dyDescent="0.15">
      <c r="A895" s="8"/>
      <c r="B895" s="7"/>
      <c r="C895" s="7"/>
      <c r="D895" s="7"/>
      <c r="E895" s="7"/>
      <c r="F895" s="7"/>
      <c r="G895" s="7"/>
    </row>
    <row r="896" spans="1:7" ht="13" x14ac:dyDescent="0.15">
      <c r="A896" s="8"/>
      <c r="B896" s="7"/>
      <c r="C896" s="7"/>
      <c r="D896" s="7"/>
      <c r="E896" s="7"/>
      <c r="F896" s="7"/>
      <c r="G896" s="7"/>
    </row>
    <row r="897" spans="1:7" ht="13" x14ac:dyDescent="0.15">
      <c r="A897" s="8"/>
      <c r="B897" s="7"/>
      <c r="C897" s="7"/>
      <c r="D897" s="7"/>
      <c r="E897" s="7"/>
      <c r="F897" s="7"/>
      <c r="G897" s="7"/>
    </row>
    <row r="898" spans="1:7" ht="13" x14ac:dyDescent="0.15">
      <c r="A898" s="8"/>
      <c r="B898" s="7"/>
      <c r="C898" s="7"/>
      <c r="D898" s="7"/>
      <c r="E898" s="7"/>
      <c r="F898" s="7"/>
      <c r="G898" s="7"/>
    </row>
    <row r="899" spans="1:7" ht="13" x14ac:dyDescent="0.15">
      <c r="A899" s="8"/>
      <c r="B899" s="7"/>
      <c r="C899" s="7"/>
      <c r="D899" s="7"/>
      <c r="E899" s="7"/>
      <c r="F899" s="7"/>
      <c r="G899" s="7"/>
    </row>
    <row r="900" spans="1:7" ht="13" x14ac:dyDescent="0.15">
      <c r="A900" s="8"/>
      <c r="B900" s="7"/>
      <c r="C900" s="7"/>
      <c r="D900" s="7"/>
      <c r="E900" s="7"/>
      <c r="F900" s="7"/>
      <c r="G900" s="7"/>
    </row>
    <row r="901" spans="1:7" ht="13" x14ac:dyDescent="0.15">
      <c r="A901" s="8"/>
      <c r="B901" s="7"/>
      <c r="C901" s="7"/>
      <c r="D901" s="7"/>
      <c r="E901" s="7"/>
      <c r="F901" s="7"/>
      <c r="G901" s="7"/>
    </row>
    <row r="902" spans="1:7" ht="13" x14ac:dyDescent="0.15">
      <c r="A902" s="8"/>
      <c r="B902" s="7"/>
      <c r="C902" s="7"/>
      <c r="D902" s="7"/>
      <c r="E902" s="7"/>
      <c r="F902" s="7"/>
      <c r="G902" s="7"/>
    </row>
    <row r="903" spans="1:7" ht="13" x14ac:dyDescent="0.15">
      <c r="A903" s="8"/>
      <c r="B903" s="7"/>
      <c r="C903" s="7"/>
      <c r="D903" s="7"/>
      <c r="E903" s="7"/>
      <c r="F903" s="7"/>
      <c r="G903" s="7"/>
    </row>
    <row r="904" spans="1:7" ht="13" x14ac:dyDescent="0.15">
      <c r="A904" s="8"/>
      <c r="B904" s="7"/>
      <c r="C904" s="7"/>
      <c r="D904" s="7"/>
      <c r="E904" s="7"/>
      <c r="F904" s="7"/>
      <c r="G904" s="7"/>
    </row>
    <row r="905" spans="1:7" ht="13" x14ac:dyDescent="0.15">
      <c r="A905" s="8"/>
      <c r="B905" s="7"/>
      <c r="C905" s="7"/>
      <c r="D905" s="7"/>
      <c r="E905" s="7"/>
      <c r="F905" s="7"/>
      <c r="G905" s="7"/>
    </row>
    <row r="906" spans="1:7" ht="13" x14ac:dyDescent="0.15">
      <c r="A906" s="8"/>
      <c r="B906" s="7"/>
      <c r="C906" s="7"/>
      <c r="D906" s="7"/>
      <c r="E906" s="7"/>
      <c r="F906" s="7"/>
      <c r="G906" s="7"/>
    </row>
    <row r="907" spans="1:7" ht="13" x14ac:dyDescent="0.15">
      <c r="A907" s="8"/>
      <c r="B907" s="7"/>
      <c r="C907" s="7"/>
      <c r="D907" s="7"/>
      <c r="E907" s="7"/>
      <c r="F907" s="7"/>
      <c r="G907" s="7"/>
    </row>
    <row r="908" spans="1:7" ht="13" x14ac:dyDescent="0.15">
      <c r="A908" s="8"/>
      <c r="B908" s="7"/>
      <c r="C908" s="7"/>
      <c r="D908" s="7"/>
      <c r="E908" s="7"/>
      <c r="F908" s="7"/>
      <c r="G908" s="7"/>
    </row>
    <row r="909" spans="1:7" ht="13" x14ac:dyDescent="0.15">
      <c r="A909" s="8"/>
      <c r="B909" s="7"/>
      <c r="C909" s="7"/>
      <c r="D909" s="7"/>
      <c r="E909" s="7"/>
      <c r="F909" s="7"/>
      <c r="G909" s="7"/>
    </row>
    <row r="910" spans="1:7" ht="13" x14ac:dyDescent="0.15">
      <c r="A910" s="8"/>
      <c r="B910" s="7"/>
      <c r="C910" s="7"/>
      <c r="D910" s="7"/>
      <c r="E910" s="7"/>
      <c r="F910" s="7"/>
      <c r="G910" s="7"/>
    </row>
    <row r="911" spans="1:7" ht="13" x14ac:dyDescent="0.15">
      <c r="A911" s="8"/>
      <c r="B911" s="7"/>
      <c r="C911" s="7"/>
      <c r="D911" s="7"/>
      <c r="E911" s="7"/>
      <c r="F911" s="7"/>
      <c r="G911" s="7"/>
    </row>
    <row r="912" spans="1:7" ht="13" x14ac:dyDescent="0.15">
      <c r="A912" s="8"/>
      <c r="B912" s="7"/>
      <c r="C912" s="7"/>
      <c r="D912" s="7"/>
      <c r="E912" s="7"/>
      <c r="F912" s="7"/>
      <c r="G912" s="7"/>
    </row>
    <row r="913" spans="1:7" ht="13" x14ac:dyDescent="0.15">
      <c r="A913" s="8"/>
      <c r="B913" s="7"/>
      <c r="C913" s="7"/>
      <c r="D913" s="7"/>
      <c r="E913" s="7"/>
      <c r="F913" s="7"/>
      <c r="G913" s="7"/>
    </row>
    <row r="914" spans="1:7" ht="13" x14ac:dyDescent="0.15">
      <c r="A914" s="8"/>
      <c r="B914" s="7"/>
      <c r="C914" s="7"/>
      <c r="D914" s="7"/>
      <c r="E914" s="7"/>
      <c r="F914" s="7"/>
      <c r="G914" s="7"/>
    </row>
    <row r="915" spans="1:7" ht="13" x14ac:dyDescent="0.15">
      <c r="A915" s="8"/>
      <c r="B915" s="7"/>
      <c r="C915" s="7"/>
      <c r="D915" s="7"/>
      <c r="E915" s="7"/>
      <c r="F915" s="7"/>
      <c r="G915" s="7"/>
    </row>
    <row r="916" spans="1:7" ht="13" x14ac:dyDescent="0.15">
      <c r="A916" s="8"/>
      <c r="B916" s="7"/>
      <c r="C916" s="7"/>
      <c r="D916" s="7"/>
      <c r="E916" s="7"/>
      <c r="F916" s="7"/>
      <c r="G916" s="7"/>
    </row>
    <row r="917" spans="1:7" ht="13" x14ac:dyDescent="0.15">
      <c r="A917" s="8"/>
      <c r="B917" s="7"/>
      <c r="C917" s="7"/>
      <c r="D917" s="7"/>
      <c r="E917" s="7"/>
      <c r="F917" s="7"/>
      <c r="G917" s="7"/>
    </row>
    <row r="918" spans="1:7" ht="13" x14ac:dyDescent="0.15">
      <c r="A918" s="8"/>
      <c r="B918" s="7"/>
      <c r="C918" s="7"/>
      <c r="D918" s="7"/>
      <c r="E918" s="7"/>
      <c r="F918" s="7"/>
      <c r="G918" s="7"/>
    </row>
    <row r="919" spans="1:7" ht="13" x14ac:dyDescent="0.15">
      <c r="A919" s="8"/>
      <c r="B919" s="7"/>
      <c r="C919" s="7"/>
      <c r="D919" s="7"/>
      <c r="E919" s="7"/>
      <c r="F919" s="7"/>
      <c r="G919" s="7"/>
    </row>
    <row r="920" spans="1:7" ht="13" x14ac:dyDescent="0.15">
      <c r="A920" s="8"/>
      <c r="B920" s="7"/>
      <c r="C920" s="7"/>
      <c r="D920" s="7"/>
      <c r="E920" s="7"/>
      <c r="F920" s="7"/>
      <c r="G920" s="7"/>
    </row>
    <row r="921" spans="1:7" ht="13" x14ac:dyDescent="0.15">
      <c r="A921" s="8"/>
      <c r="B921" s="7"/>
      <c r="C921" s="7"/>
      <c r="D921" s="7"/>
      <c r="E921" s="7"/>
      <c r="F921" s="7"/>
      <c r="G921" s="7"/>
    </row>
    <row r="922" spans="1:7" ht="13" x14ac:dyDescent="0.15">
      <c r="A922" s="8"/>
      <c r="B922" s="7"/>
      <c r="C922" s="7"/>
      <c r="D922" s="7"/>
      <c r="E922" s="7"/>
      <c r="F922" s="7"/>
      <c r="G922" s="7"/>
    </row>
    <row r="923" spans="1:7" ht="13" x14ac:dyDescent="0.15">
      <c r="A923" s="8"/>
      <c r="B923" s="7"/>
      <c r="C923" s="7"/>
      <c r="D923" s="7"/>
      <c r="E923" s="7"/>
      <c r="F923" s="7"/>
      <c r="G923" s="7"/>
    </row>
    <row r="924" spans="1:7" ht="13" x14ac:dyDescent="0.15">
      <c r="A924" s="8"/>
      <c r="B924" s="7"/>
      <c r="C924" s="7"/>
      <c r="D924" s="7"/>
      <c r="E924" s="7"/>
      <c r="F924" s="7"/>
      <c r="G924" s="7"/>
    </row>
    <row r="925" spans="1:7" ht="13" x14ac:dyDescent="0.15">
      <c r="A925" s="8"/>
      <c r="B925" s="7"/>
      <c r="C925" s="7"/>
      <c r="D925" s="7"/>
      <c r="E925" s="7"/>
      <c r="F925" s="7"/>
      <c r="G925" s="7"/>
    </row>
    <row r="926" spans="1:7" ht="13" x14ac:dyDescent="0.15">
      <c r="A926" s="8"/>
      <c r="B926" s="7"/>
      <c r="C926" s="7"/>
      <c r="D926" s="7"/>
      <c r="E926" s="7"/>
      <c r="F926" s="7"/>
      <c r="G926" s="7"/>
    </row>
    <row r="927" spans="1:7" ht="13" x14ac:dyDescent="0.15">
      <c r="A927" s="8"/>
      <c r="B927" s="7"/>
      <c r="C927" s="7"/>
      <c r="D927" s="7"/>
      <c r="E927" s="7"/>
      <c r="F927" s="7"/>
      <c r="G927" s="7"/>
    </row>
    <row r="928" spans="1:7" ht="13" x14ac:dyDescent="0.15">
      <c r="A928" s="8"/>
      <c r="B928" s="7"/>
      <c r="C928" s="7"/>
      <c r="D928" s="7"/>
      <c r="E928" s="7"/>
      <c r="F928" s="7"/>
      <c r="G928" s="7"/>
    </row>
    <row r="929" spans="1:7" ht="13" x14ac:dyDescent="0.15">
      <c r="A929" s="8"/>
      <c r="B929" s="7"/>
      <c r="C929" s="7"/>
      <c r="D929" s="7"/>
      <c r="E929" s="7"/>
      <c r="F929" s="7"/>
      <c r="G929" s="7"/>
    </row>
    <row r="930" spans="1:7" ht="13" x14ac:dyDescent="0.15">
      <c r="A930" s="8"/>
      <c r="B930" s="7"/>
      <c r="C930" s="7"/>
      <c r="D930" s="7"/>
      <c r="E930" s="7"/>
      <c r="F930" s="7"/>
      <c r="G930" s="7"/>
    </row>
    <row r="931" spans="1:7" ht="13" x14ac:dyDescent="0.15">
      <c r="A931" s="8"/>
      <c r="B931" s="7"/>
      <c r="C931" s="7"/>
      <c r="D931" s="7"/>
      <c r="E931" s="7"/>
      <c r="F931" s="7"/>
      <c r="G931" s="7"/>
    </row>
    <row r="932" spans="1:7" ht="13" x14ac:dyDescent="0.15">
      <c r="A932" s="8"/>
      <c r="B932" s="7"/>
      <c r="C932" s="7"/>
      <c r="D932" s="7"/>
      <c r="E932" s="7"/>
      <c r="F932" s="7"/>
      <c r="G932" s="7"/>
    </row>
    <row r="933" spans="1:7" ht="13" x14ac:dyDescent="0.15">
      <c r="A933" s="8"/>
      <c r="B933" s="7"/>
      <c r="C933" s="7"/>
      <c r="D933" s="7"/>
      <c r="E933" s="7"/>
      <c r="F933" s="7"/>
      <c r="G933" s="7"/>
    </row>
    <row r="934" spans="1:7" ht="13" x14ac:dyDescent="0.15">
      <c r="A934" s="8"/>
      <c r="B934" s="7"/>
      <c r="C934" s="7"/>
      <c r="D934" s="7"/>
      <c r="E934" s="7"/>
      <c r="F934" s="7"/>
      <c r="G934" s="7"/>
    </row>
    <row r="935" spans="1:7" ht="13" x14ac:dyDescent="0.15">
      <c r="A935" s="8"/>
      <c r="B935" s="7"/>
      <c r="C935" s="7"/>
      <c r="D935" s="7"/>
      <c r="E935" s="7"/>
      <c r="F935" s="7"/>
      <c r="G935" s="7"/>
    </row>
    <row r="936" spans="1:7" ht="13" x14ac:dyDescent="0.15">
      <c r="A936" s="8"/>
      <c r="B936" s="7"/>
      <c r="C936" s="7"/>
      <c r="D936" s="7"/>
      <c r="E936" s="7"/>
      <c r="F936" s="7"/>
      <c r="G936" s="7"/>
    </row>
    <row r="937" spans="1:7" ht="13" x14ac:dyDescent="0.15">
      <c r="A937" s="8"/>
      <c r="B937" s="7"/>
      <c r="C937" s="7"/>
      <c r="D937" s="7"/>
      <c r="E937" s="7"/>
      <c r="F937" s="7"/>
      <c r="G937" s="7"/>
    </row>
    <row r="938" spans="1:7" ht="13" x14ac:dyDescent="0.15">
      <c r="A938" s="8"/>
      <c r="B938" s="7"/>
      <c r="C938" s="7"/>
      <c r="D938" s="7"/>
      <c r="E938" s="7"/>
      <c r="F938" s="7"/>
      <c r="G938" s="7"/>
    </row>
    <row r="939" spans="1:7" ht="13" x14ac:dyDescent="0.15">
      <c r="A939" s="8"/>
      <c r="B939" s="7"/>
      <c r="C939" s="7"/>
      <c r="D939" s="7"/>
      <c r="E939" s="7"/>
      <c r="F939" s="7"/>
      <c r="G939" s="7"/>
    </row>
    <row r="940" spans="1:7" ht="13" x14ac:dyDescent="0.15">
      <c r="A940" s="8"/>
      <c r="B940" s="7"/>
      <c r="C940" s="7"/>
      <c r="D940" s="7"/>
      <c r="E940" s="7"/>
      <c r="F940" s="7"/>
      <c r="G940" s="7"/>
    </row>
    <row r="941" spans="1:7" ht="13" x14ac:dyDescent="0.15">
      <c r="A941" s="8"/>
      <c r="B941" s="7"/>
      <c r="C941" s="7"/>
      <c r="D941" s="7"/>
      <c r="E941" s="7"/>
      <c r="F941" s="7"/>
      <c r="G941" s="7"/>
    </row>
    <row r="942" spans="1:7" ht="13" x14ac:dyDescent="0.15">
      <c r="A942" s="8"/>
      <c r="B942" s="7"/>
      <c r="C942" s="7"/>
      <c r="D942" s="7"/>
      <c r="E942" s="7"/>
      <c r="F942" s="7"/>
      <c r="G942" s="7"/>
    </row>
    <row r="943" spans="1:7" ht="13" x14ac:dyDescent="0.15">
      <c r="A943" s="8"/>
      <c r="B943" s="7"/>
      <c r="C943" s="7"/>
      <c r="D943" s="7"/>
      <c r="E943" s="7"/>
      <c r="F943" s="7"/>
      <c r="G943" s="7"/>
    </row>
    <row r="944" spans="1:7" ht="13" x14ac:dyDescent="0.15">
      <c r="A944" s="8"/>
      <c r="B944" s="7"/>
      <c r="C944" s="7"/>
      <c r="D944" s="7"/>
      <c r="E944" s="7"/>
      <c r="F944" s="7"/>
      <c r="G944" s="7"/>
    </row>
    <row r="945" spans="1:7" ht="13" x14ac:dyDescent="0.15">
      <c r="A945" s="8"/>
      <c r="B945" s="7"/>
      <c r="C945" s="7"/>
      <c r="D945" s="7"/>
      <c r="E945" s="7"/>
      <c r="F945" s="7"/>
      <c r="G945" s="7"/>
    </row>
    <row r="946" spans="1:7" ht="13" x14ac:dyDescent="0.15">
      <c r="A946" s="8"/>
      <c r="B946" s="7"/>
      <c r="C946" s="7"/>
      <c r="D946" s="7"/>
      <c r="E946" s="7"/>
      <c r="F946" s="7"/>
      <c r="G946" s="7"/>
    </row>
    <row r="947" spans="1:7" ht="13" x14ac:dyDescent="0.15">
      <c r="A947" s="8"/>
      <c r="B947" s="7"/>
      <c r="C947" s="7"/>
      <c r="D947" s="7"/>
      <c r="E947" s="7"/>
      <c r="F947" s="7"/>
      <c r="G947" s="7"/>
    </row>
    <row r="948" spans="1:7" ht="13" x14ac:dyDescent="0.15">
      <c r="A948" s="8"/>
      <c r="B948" s="7"/>
      <c r="C948" s="7"/>
      <c r="D948" s="7"/>
      <c r="E948" s="7"/>
      <c r="F948" s="7"/>
      <c r="G948" s="7"/>
    </row>
    <row r="949" spans="1:7" ht="13" x14ac:dyDescent="0.15">
      <c r="A949" s="8"/>
      <c r="B949" s="7"/>
      <c r="C949" s="7"/>
      <c r="D949" s="7"/>
      <c r="E949" s="7"/>
      <c r="F949" s="7"/>
      <c r="G949" s="7"/>
    </row>
    <row r="950" spans="1:7" ht="13" x14ac:dyDescent="0.15">
      <c r="A950" s="8"/>
      <c r="B950" s="7"/>
      <c r="C950" s="7"/>
      <c r="D950" s="7"/>
      <c r="E950" s="7"/>
      <c r="F950" s="7"/>
      <c r="G950" s="7"/>
    </row>
    <row r="951" spans="1:7" ht="13" x14ac:dyDescent="0.15">
      <c r="A951" s="8"/>
      <c r="B951" s="7"/>
      <c r="C951" s="7"/>
      <c r="D951" s="7"/>
      <c r="E951" s="7"/>
      <c r="F951" s="7"/>
      <c r="G951" s="7"/>
    </row>
    <row r="952" spans="1:7" ht="13" x14ac:dyDescent="0.15">
      <c r="A952" s="8"/>
      <c r="B952" s="7"/>
      <c r="C952" s="7"/>
      <c r="D952" s="7"/>
      <c r="E952" s="7"/>
      <c r="F952" s="7"/>
      <c r="G952" s="7"/>
    </row>
    <row r="953" spans="1:7" ht="13" x14ac:dyDescent="0.15">
      <c r="A953" s="8"/>
      <c r="B953" s="7"/>
      <c r="C953" s="7"/>
      <c r="D953" s="7"/>
      <c r="E953" s="7"/>
      <c r="F953" s="7"/>
      <c r="G953" s="7"/>
    </row>
    <row r="954" spans="1:7" ht="13" x14ac:dyDescent="0.15">
      <c r="A954" s="8"/>
      <c r="B954" s="7"/>
      <c r="C954" s="7"/>
      <c r="D954" s="7"/>
      <c r="E954" s="7"/>
      <c r="F954" s="7"/>
      <c r="G954" s="7"/>
    </row>
    <row r="955" spans="1:7" ht="13" x14ac:dyDescent="0.15">
      <c r="A955" s="8"/>
      <c r="B955" s="7"/>
      <c r="C955" s="7"/>
      <c r="D955" s="7"/>
      <c r="E955" s="7"/>
      <c r="F955" s="7"/>
      <c r="G955" s="7"/>
    </row>
    <row r="956" spans="1:7" ht="13" x14ac:dyDescent="0.15">
      <c r="A956" s="8"/>
      <c r="B956" s="7"/>
      <c r="C956" s="7"/>
      <c r="D956" s="7"/>
      <c r="E956" s="7"/>
      <c r="F956" s="7"/>
      <c r="G956" s="7"/>
    </row>
    <row r="957" spans="1:7" ht="13" x14ac:dyDescent="0.15">
      <c r="A957" s="8"/>
      <c r="B957" s="7"/>
      <c r="C957" s="7"/>
      <c r="D957" s="7"/>
      <c r="E957" s="7"/>
      <c r="F957" s="7"/>
      <c r="G957" s="7"/>
    </row>
    <row r="958" spans="1:7" ht="13" x14ac:dyDescent="0.15">
      <c r="A958" s="8"/>
      <c r="B958" s="7"/>
      <c r="C958" s="7"/>
      <c r="D958" s="7"/>
      <c r="E958" s="7"/>
      <c r="F958" s="7"/>
      <c r="G958" s="7"/>
    </row>
    <row r="959" spans="1:7" ht="13" x14ac:dyDescent="0.15">
      <c r="A959" s="8"/>
      <c r="B959" s="7"/>
      <c r="C959" s="7"/>
      <c r="D959" s="7"/>
      <c r="E959" s="7"/>
      <c r="F959" s="7"/>
      <c r="G959" s="7"/>
    </row>
    <row r="960" spans="1:7" ht="13" x14ac:dyDescent="0.15">
      <c r="A960" s="8"/>
      <c r="B960" s="7"/>
      <c r="C960" s="7"/>
      <c r="D960" s="7"/>
      <c r="E960" s="7"/>
      <c r="F960" s="7"/>
      <c r="G960" s="7"/>
    </row>
    <row r="961" spans="1:7" ht="13" x14ac:dyDescent="0.15">
      <c r="A961" s="8"/>
      <c r="B961" s="7"/>
      <c r="C961" s="7"/>
      <c r="D961" s="7"/>
      <c r="E961" s="7"/>
      <c r="F961" s="7"/>
      <c r="G961" s="7"/>
    </row>
    <row r="962" spans="1:7" ht="13" x14ac:dyDescent="0.15">
      <c r="A962" s="8"/>
      <c r="B962" s="7"/>
      <c r="C962" s="7"/>
      <c r="D962" s="7"/>
      <c r="E962" s="7"/>
      <c r="F962" s="7"/>
      <c r="G962" s="7"/>
    </row>
    <row r="963" spans="1:7" ht="13" x14ac:dyDescent="0.15">
      <c r="A963" s="8"/>
      <c r="B963" s="7"/>
      <c r="C963" s="7"/>
      <c r="D963" s="7"/>
      <c r="E963" s="7"/>
      <c r="F963" s="7"/>
      <c r="G963" s="7"/>
    </row>
    <row r="964" spans="1:7" ht="13" x14ac:dyDescent="0.15">
      <c r="A964" s="8"/>
      <c r="B964" s="7"/>
      <c r="C964" s="7"/>
      <c r="D964" s="7"/>
      <c r="E964" s="7"/>
      <c r="F964" s="7"/>
      <c r="G964" s="7"/>
    </row>
    <row r="965" spans="1:7" ht="13" x14ac:dyDescent="0.15">
      <c r="A965" s="8"/>
      <c r="B965" s="7"/>
      <c r="C965" s="7"/>
      <c r="D965" s="7"/>
      <c r="E965" s="7"/>
      <c r="F965" s="7"/>
      <c r="G965" s="7"/>
    </row>
    <row r="966" spans="1:7" ht="13" x14ac:dyDescent="0.15">
      <c r="A966" s="8"/>
      <c r="B966" s="7"/>
      <c r="C966" s="7"/>
      <c r="D966" s="7"/>
      <c r="E966" s="7"/>
      <c r="F966" s="7"/>
      <c r="G966" s="7"/>
    </row>
    <row r="967" spans="1:7" ht="13" x14ac:dyDescent="0.15">
      <c r="A967" s="8"/>
      <c r="B967" s="7"/>
      <c r="C967" s="7"/>
      <c r="D967" s="7"/>
      <c r="E967" s="7"/>
      <c r="F967" s="7"/>
      <c r="G967" s="7"/>
    </row>
    <row r="968" spans="1:7" ht="13" x14ac:dyDescent="0.15">
      <c r="A968" s="8"/>
      <c r="B968" s="7"/>
      <c r="C968" s="7"/>
      <c r="D968" s="7"/>
      <c r="E968" s="7"/>
      <c r="F968" s="7"/>
      <c r="G968" s="7"/>
    </row>
    <row r="969" spans="1:7" ht="13" x14ac:dyDescent="0.15">
      <c r="A969" s="8"/>
      <c r="B969" s="7"/>
      <c r="C969" s="7"/>
      <c r="D969" s="7"/>
      <c r="E969" s="7"/>
      <c r="F969" s="7"/>
      <c r="G969" s="7"/>
    </row>
    <row r="970" spans="1:7" ht="13" x14ac:dyDescent="0.15">
      <c r="A970" s="8"/>
      <c r="B970" s="7"/>
      <c r="C970" s="7"/>
      <c r="D970" s="7"/>
      <c r="E970" s="7"/>
      <c r="F970" s="7"/>
      <c r="G970" s="7"/>
    </row>
    <row r="971" spans="1:7" ht="13" x14ac:dyDescent="0.15">
      <c r="A971" s="8"/>
      <c r="B971" s="7"/>
      <c r="C971" s="7"/>
      <c r="D971" s="7"/>
      <c r="E971" s="7"/>
      <c r="F971" s="7"/>
      <c r="G971" s="7"/>
    </row>
    <row r="972" spans="1:7" ht="13" x14ac:dyDescent="0.15">
      <c r="A972" s="8"/>
      <c r="B972" s="7"/>
      <c r="C972" s="7"/>
      <c r="D972" s="7"/>
      <c r="E972" s="7"/>
      <c r="F972" s="7"/>
      <c r="G972" s="7"/>
    </row>
    <row r="973" spans="1:7" ht="13" x14ac:dyDescent="0.15">
      <c r="A973" s="8"/>
      <c r="B973" s="7"/>
      <c r="C973" s="7"/>
      <c r="D973" s="7"/>
      <c r="E973" s="7"/>
      <c r="F973" s="7"/>
      <c r="G973" s="7"/>
    </row>
    <row r="974" spans="1:7" ht="13" x14ac:dyDescent="0.15">
      <c r="A974" s="8"/>
      <c r="B974" s="7"/>
      <c r="C974" s="7"/>
      <c r="D974" s="7"/>
      <c r="E974" s="7"/>
      <c r="F974" s="7"/>
      <c r="G974" s="7"/>
    </row>
    <row r="975" spans="1:7" ht="13" x14ac:dyDescent="0.15">
      <c r="A975" s="8"/>
      <c r="B975" s="7"/>
      <c r="C975" s="7"/>
      <c r="D975" s="7"/>
      <c r="E975" s="7"/>
      <c r="F975" s="7"/>
      <c r="G975" s="7"/>
    </row>
    <row r="976" spans="1:7" ht="13" x14ac:dyDescent="0.15">
      <c r="A976" s="8"/>
      <c r="B976" s="7"/>
      <c r="C976" s="7"/>
      <c r="D976" s="7"/>
      <c r="E976" s="7"/>
      <c r="F976" s="7"/>
      <c r="G976" s="7"/>
    </row>
    <row r="977" spans="1:7" ht="13" x14ac:dyDescent="0.15">
      <c r="A977" s="8"/>
      <c r="B977" s="7"/>
      <c r="C977" s="7"/>
      <c r="D977" s="7"/>
      <c r="E977" s="7"/>
      <c r="F977" s="7"/>
      <c r="G977" s="7"/>
    </row>
    <row r="978" spans="1:7" ht="13" x14ac:dyDescent="0.15">
      <c r="A978" s="8"/>
      <c r="B978" s="7"/>
      <c r="C978" s="7"/>
      <c r="D978" s="7"/>
      <c r="E978" s="7"/>
      <c r="F978" s="7"/>
      <c r="G97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68"/>
  <sheetViews>
    <sheetView topLeftCell="A114" workbookViewId="0">
      <selection activeCell="G14" sqref="G14"/>
    </sheetView>
  </sheetViews>
  <sheetFormatPr baseColWidth="10" defaultColWidth="12.6640625" defaultRowHeight="15.75" customHeight="1" x14ac:dyDescent="0.15"/>
  <cols>
    <col min="1" max="2" width="13" customWidth="1"/>
    <col min="3" max="3" width="39.1640625" customWidth="1"/>
    <col min="4" max="4" width="41.6640625" customWidth="1"/>
    <col min="5" max="5" width="13" customWidth="1"/>
    <col min="6" max="6" width="21.5" customWidth="1"/>
    <col min="7" max="7" width="13" customWidth="1"/>
    <col min="8" max="8" width="13.33203125" customWidth="1"/>
  </cols>
  <sheetData>
    <row r="1" spans="1:9" ht="15.75" customHeight="1" x14ac:dyDescent="0.15">
      <c r="A1" s="2" t="s">
        <v>502</v>
      </c>
      <c r="B1" s="2" t="s">
        <v>503</v>
      </c>
      <c r="C1" s="2" t="s">
        <v>505</v>
      </c>
      <c r="D1" s="2" t="s">
        <v>506</v>
      </c>
      <c r="E1" s="2" t="s">
        <v>507</v>
      </c>
      <c r="F1" s="2" t="s">
        <v>508</v>
      </c>
      <c r="G1" s="2" t="s">
        <v>509</v>
      </c>
      <c r="H1" s="2" t="s">
        <v>510</v>
      </c>
      <c r="I1" s="2" t="s">
        <v>511</v>
      </c>
    </row>
    <row r="2" spans="1:9" ht="15.75" customHeight="1" x14ac:dyDescent="0.15">
      <c r="A2" s="2" t="s">
        <v>512</v>
      </c>
      <c r="B2" s="2" t="s">
        <v>513</v>
      </c>
      <c r="C2" s="2" t="str">
        <f t="shared" ref="C2:C168" si="0">"How many diacritized vowels are in the word " &amp; "\" &amp; """" &amp; G2 &amp; "\" &amp; """" &amp; "?"</f>
        <v>How many diacritized vowels are in the word \"at\"?</v>
      </c>
      <c r="D2" s="2" t="str">
        <f t="shared" ref="D2:D168" si="1">"Ilang patinig ang mayroong tuldik sa salitang " &amp; "\" &amp; """" &amp; G2 &amp; "\" &amp; """" &amp; "?"</f>
        <v>Ilang patinig ang mayroong tuldik sa salitang \"at\"?</v>
      </c>
      <c r="E2" s="2">
        <f t="shared" ref="E2:E168" si="2">I2</f>
        <v>0</v>
      </c>
      <c r="F2" s="2" t="s">
        <v>514</v>
      </c>
      <c r="G2" s="2" t="s">
        <v>515</v>
      </c>
      <c r="H2" s="2" t="s">
        <v>515</v>
      </c>
      <c r="I2" s="2">
        <v>0</v>
      </c>
    </row>
    <row r="3" spans="1:9" ht="15.75" customHeight="1" x14ac:dyDescent="0.15">
      <c r="A3" s="2" t="s">
        <v>512</v>
      </c>
      <c r="B3" s="2" t="s">
        <v>513</v>
      </c>
      <c r="C3" s="2" t="str">
        <f t="shared" si="0"/>
        <v>How many diacritized vowels are in the word \"mo\"?</v>
      </c>
      <c r="D3" s="2" t="str">
        <f t="shared" si="1"/>
        <v>Ilang patinig ang mayroong tuldik sa salitang \"mo\"?</v>
      </c>
      <c r="E3" s="2">
        <f t="shared" si="2"/>
        <v>0</v>
      </c>
      <c r="F3" s="2" t="s">
        <v>516</v>
      </c>
      <c r="G3" s="2" t="s">
        <v>517</v>
      </c>
      <c r="H3" s="2" t="s">
        <v>517</v>
      </c>
      <c r="I3" s="2">
        <v>0</v>
      </c>
    </row>
    <row r="4" spans="1:9" ht="15.75" customHeight="1" x14ac:dyDescent="0.15">
      <c r="A4" s="2" t="s">
        <v>512</v>
      </c>
      <c r="B4" s="2" t="s">
        <v>513</v>
      </c>
      <c r="C4" s="2" t="str">
        <f t="shared" si="0"/>
        <v>How many diacritized vowels are in the word \"ko\"?</v>
      </c>
      <c r="D4" s="2" t="str">
        <f t="shared" si="1"/>
        <v>Ilang patinig ang mayroong tuldik sa salitang \"ko\"?</v>
      </c>
      <c r="E4" s="2">
        <f t="shared" si="2"/>
        <v>0</v>
      </c>
      <c r="F4" s="2" t="s">
        <v>518</v>
      </c>
      <c r="G4" s="2" t="s">
        <v>519</v>
      </c>
      <c r="H4" s="2" t="s">
        <v>519</v>
      </c>
      <c r="I4" s="2">
        <v>0</v>
      </c>
    </row>
    <row r="5" spans="1:9" ht="15.75" customHeight="1" x14ac:dyDescent="0.15">
      <c r="A5" s="2" t="s">
        <v>512</v>
      </c>
      <c r="B5" s="2" t="s">
        <v>513</v>
      </c>
      <c r="C5" s="2" t="str">
        <f t="shared" si="0"/>
        <v>How many diacritized vowels are in the word \"ng\"?</v>
      </c>
      <c r="D5" s="2" t="str">
        <f t="shared" si="1"/>
        <v>Ilang patinig ang mayroong tuldik sa salitang \"ng\"?</v>
      </c>
      <c r="E5" s="2">
        <f t="shared" si="2"/>
        <v>0</v>
      </c>
      <c r="F5" s="2" t="s">
        <v>520</v>
      </c>
      <c r="G5" s="2" t="s">
        <v>521</v>
      </c>
      <c r="H5" s="2" t="s">
        <v>521</v>
      </c>
      <c r="I5" s="2">
        <v>0</v>
      </c>
    </row>
    <row r="6" spans="1:9" ht="15.75" customHeight="1" x14ac:dyDescent="0.15">
      <c r="A6" s="2" t="s">
        <v>512</v>
      </c>
      <c r="B6" s="2" t="s">
        <v>513</v>
      </c>
      <c r="C6" s="2" t="str">
        <f t="shared" si="0"/>
        <v>How many diacritized vowels are in the word \"ang\"?</v>
      </c>
      <c r="D6" s="2" t="str">
        <f t="shared" si="1"/>
        <v>Ilang patinig ang mayroong tuldik sa salitang \"ang\"?</v>
      </c>
      <c r="E6" s="2">
        <f t="shared" si="2"/>
        <v>0</v>
      </c>
      <c r="F6" s="2" t="s">
        <v>522</v>
      </c>
      <c r="G6" s="2" t="s">
        <v>523</v>
      </c>
      <c r="H6" s="2" t="s">
        <v>523</v>
      </c>
      <c r="I6" s="2">
        <v>0</v>
      </c>
    </row>
    <row r="7" spans="1:9" ht="15.75" customHeight="1" x14ac:dyDescent="0.15">
      <c r="A7" s="2" t="s">
        <v>512</v>
      </c>
      <c r="B7" s="2" t="s">
        <v>513</v>
      </c>
      <c r="C7" s="2" t="str">
        <f t="shared" si="0"/>
        <v>How many diacritized vowels are in the word \"sa\"?</v>
      </c>
      <c r="D7" s="2" t="str">
        <f t="shared" si="1"/>
        <v>Ilang patinig ang mayroong tuldik sa salitang \"sa\"?</v>
      </c>
      <c r="E7" s="2">
        <f t="shared" si="2"/>
        <v>0</v>
      </c>
      <c r="F7" s="2" t="s">
        <v>524</v>
      </c>
      <c r="G7" s="2" t="s">
        <v>525</v>
      </c>
      <c r="H7" s="2" t="s">
        <v>525</v>
      </c>
      <c r="I7" s="2">
        <v>0</v>
      </c>
    </row>
    <row r="8" spans="1:9" ht="15.75" customHeight="1" x14ac:dyDescent="0.15">
      <c r="A8" s="2" t="s">
        <v>512</v>
      </c>
      <c r="B8" s="2" t="s">
        <v>513</v>
      </c>
      <c r="C8" s="2" t="str">
        <f t="shared" si="0"/>
        <v>How many diacritized vowels are in the word \"pa\"?</v>
      </c>
      <c r="D8" s="2" t="str">
        <f t="shared" si="1"/>
        <v>Ilang patinig ang mayroong tuldik sa salitang \"pa\"?</v>
      </c>
      <c r="E8" s="2">
        <f t="shared" si="2"/>
        <v>0</v>
      </c>
      <c r="F8" s="2" t="s">
        <v>526</v>
      </c>
      <c r="G8" s="2" t="s">
        <v>527</v>
      </c>
      <c r="H8" s="2" t="s">
        <v>527</v>
      </c>
      <c r="I8" s="2">
        <v>0</v>
      </c>
    </row>
    <row r="9" spans="1:9" ht="15.75" customHeight="1" x14ac:dyDescent="0.15">
      <c r="A9" s="2" t="s">
        <v>512</v>
      </c>
      <c r="B9" s="2" t="s">
        <v>513</v>
      </c>
      <c r="C9" s="2" t="str">
        <f t="shared" si="0"/>
        <v>How many diacritized vowels are in the word \"ka\"?</v>
      </c>
      <c r="D9" s="2" t="str">
        <f t="shared" si="1"/>
        <v>Ilang patinig ang mayroong tuldik sa salitang \"ka\"?</v>
      </c>
      <c r="E9" s="2">
        <f t="shared" si="2"/>
        <v>0</v>
      </c>
      <c r="F9" s="2" t="s">
        <v>528</v>
      </c>
      <c r="G9" s="2" t="s">
        <v>529</v>
      </c>
      <c r="H9" s="2" t="s">
        <v>529</v>
      </c>
      <c r="I9" s="2">
        <v>0</v>
      </c>
    </row>
    <row r="10" spans="1:9" ht="15.75" customHeight="1" x14ac:dyDescent="0.15">
      <c r="A10" s="2" t="s">
        <v>512</v>
      </c>
      <c r="B10" s="2" t="s">
        <v>513</v>
      </c>
      <c r="C10" s="2" t="str">
        <f t="shared" si="0"/>
        <v>How many diacritized vowels are in the word \"kung\"?</v>
      </c>
      <c r="D10" s="2" t="str">
        <f t="shared" si="1"/>
        <v>Ilang patinig ang mayroong tuldik sa salitang \"kung\"?</v>
      </c>
      <c r="E10" s="2">
        <f t="shared" si="2"/>
        <v>0</v>
      </c>
      <c r="F10" s="2" t="s">
        <v>530</v>
      </c>
      <c r="G10" s="2" t="s">
        <v>531</v>
      </c>
      <c r="H10" s="2" t="s">
        <v>531</v>
      </c>
      <c r="I10" s="2">
        <v>0</v>
      </c>
    </row>
    <row r="11" spans="1:9" ht="15.75" customHeight="1" x14ac:dyDescent="0.15">
      <c r="A11" s="2" t="s">
        <v>512</v>
      </c>
      <c r="B11" s="2" t="s">
        <v>513</v>
      </c>
      <c r="C11" s="2" t="str">
        <f t="shared" si="0"/>
        <v>How many diacritized vowels are in the word \"ba\"?</v>
      </c>
      <c r="D11" s="2" t="str">
        <f t="shared" si="1"/>
        <v>Ilang patinig ang mayroong tuldik sa salitang \"ba\"?</v>
      </c>
      <c r="E11" s="2">
        <f t="shared" si="2"/>
        <v>0</v>
      </c>
      <c r="F11" s="2" t="s">
        <v>532</v>
      </c>
      <c r="G11" s="2" t="s">
        <v>533</v>
      </c>
      <c r="H11" s="2" t="s">
        <v>533</v>
      </c>
      <c r="I11" s="2">
        <v>0</v>
      </c>
    </row>
    <row r="12" spans="1:9" ht="15.75" customHeight="1" x14ac:dyDescent="0.15">
      <c r="A12" s="2" t="s">
        <v>512</v>
      </c>
      <c r="B12" s="2" t="s">
        <v>513</v>
      </c>
      <c r="C12" s="2" t="str">
        <f t="shared" si="0"/>
        <v>How many diacritized vowels are in the word \"beyk\"?</v>
      </c>
      <c r="D12" s="2" t="str">
        <f t="shared" si="1"/>
        <v>Ilang patinig ang mayroong tuldik sa salitang \"beyk\"?</v>
      </c>
      <c r="E12" s="2">
        <f t="shared" si="2"/>
        <v>0</v>
      </c>
      <c r="F12" s="2" t="s">
        <v>534</v>
      </c>
      <c r="G12" s="2" t="s">
        <v>535</v>
      </c>
      <c r="H12" s="2" t="s">
        <v>535</v>
      </c>
      <c r="I12" s="2">
        <v>0</v>
      </c>
    </row>
    <row r="13" spans="1:9" ht="15.75" customHeight="1" x14ac:dyDescent="0.15">
      <c r="A13" s="2" t="s">
        <v>512</v>
      </c>
      <c r="B13" s="2" t="s">
        <v>513</v>
      </c>
      <c r="C13" s="2" t="str">
        <f t="shared" si="0"/>
        <v>How many diacritized vowels are in the word \"bus\"?</v>
      </c>
      <c r="D13" s="2" t="str">
        <f t="shared" si="1"/>
        <v>Ilang patinig ang mayroong tuldik sa salitang \"bus\"?</v>
      </c>
      <c r="E13" s="2">
        <f t="shared" si="2"/>
        <v>0</v>
      </c>
      <c r="F13" s="2" t="s">
        <v>536</v>
      </c>
      <c r="G13" s="2" t="s">
        <v>537</v>
      </c>
      <c r="H13" s="2" t="s">
        <v>537</v>
      </c>
      <c r="I13" s="2">
        <v>0</v>
      </c>
    </row>
    <row r="14" spans="1:9" ht="15.75" customHeight="1" x14ac:dyDescent="0.15">
      <c r="A14" s="2" t="s">
        <v>512</v>
      </c>
      <c r="B14" s="2" t="s">
        <v>513</v>
      </c>
      <c r="C14" s="2" t="str">
        <f t="shared" si="0"/>
        <v>How many diacritized vowels are in the word \"klerk\"?</v>
      </c>
      <c r="D14" s="2" t="str">
        <f t="shared" si="1"/>
        <v>Ilang patinig ang mayroong tuldik sa salitang \"klerk\"?</v>
      </c>
      <c r="E14" s="2">
        <f t="shared" si="2"/>
        <v>0</v>
      </c>
      <c r="F14" s="2" t="s">
        <v>538</v>
      </c>
      <c r="G14" s="2" t="s">
        <v>539</v>
      </c>
      <c r="H14" s="2" t="s">
        <v>539</v>
      </c>
      <c r="I14" s="2">
        <v>0</v>
      </c>
    </row>
    <row r="15" spans="1:9" ht="15.75" customHeight="1" x14ac:dyDescent="0.15">
      <c r="A15" s="2" t="s">
        <v>512</v>
      </c>
      <c r="B15" s="2" t="s">
        <v>513</v>
      </c>
      <c r="C15" s="2" t="str">
        <f t="shared" si="0"/>
        <v>How many diacritized vowels are in the word \"Mang\"?</v>
      </c>
      <c r="D15" s="2" t="str">
        <f t="shared" si="1"/>
        <v>Ilang patinig ang mayroong tuldik sa salitang \"Mang\"?</v>
      </c>
      <c r="E15" s="2">
        <f t="shared" si="2"/>
        <v>0</v>
      </c>
      <c r="F15" s="2" t="s">
        <v>540</v>
      </c>
      <c r="G15" s="2" t="s">
        <v>541</v>
      </c>
      <c r="H15" s="2" t="s">
        <v>541</v>
      </c>
      <c r="I15" s="2">
        <v>0</v>
      </c>
    </row>
    <row r="16" spans="1:9" ht="15.75" customHeight="1" x14ac:dyDescent="0.15">
      <c r="A16" s="2" t="s">
        <v>512</v>
      </c>
      <c r="B16" s="2" t="s">
        <v>513</v>
      </c>
      <c r="C16" s="2" t="str">
        <f t="shared" si="0"/>
        <v>How many diacritized vowels are in the word \"nars\"?</v>
      </c>
      <c r="D16" s="2" t="str">
        <f t="shared" si="1"/>
        <v>Ilang patinig ang mayroong tuldik sa salitang \"nars\"?</v>
      </c>
      <c r="E16" s="2">
        <f t="shared" si="2"/>
        <v>0</v>
      </c>
      <c r="F16" s="2" t="s">
        <v>542</v>
      </c>
      <c r="G16" s="2" t="s">
        <v>543</v>
      </c>
      <c r="H16" s="2" t="s">
        <v>543</v>
      </c>
      <c r="I16" s="2">
        <v>0</v>
      </c>
    </row>
    <row r="17" spans="1:9" ht="15.75" customHeight="1" x14ac:dyDescent="0.15">
      <c r="A17" s="2" t="s">
        <v>512</v>
      </c>
      <c r="B17" s="2" t="s">
        <v>513</v>
      </c>
      <c r="C17" s="2" t="str">
        <f t="shared" si="0"/>
        <v>How many diacritized vowels are in the word \"nang\"?</v>
      </c>
      <c r="D17" s="2" t="str">
        <f t="shared" si="1"/>
        <v>Ilang patinig ang mayroong tuldik sa salitang \"nang\"?</v>
      </c>
      <c r="E17" s="2">
        <f t="shared" si="2"/>
        <v>0</v>
      </c>
      <c r="F17" s="2" t="s">
        <v>544</v>
      </c>
      <c r="G17" s="2" t="s">
        <v>545</v>
      </c>
      <c r="H17" s="2" t="s">
        <v>545</v>
      </c>
      <c r="I17" s="2">
        <v>0</v>
      </c>
    </row>
    <row r="18" spans="1:9" ht="15.75" customHeight="1" x14ac:dyDescent="0.15">
      <c r="A18" s="2" t="s">
        <v>512</v>
      </c>
      <c r="B18" s="2" t="s">
        <v>513</v>
      </c>
      <c r="C18" s="2" t="str">
        <f t="shared" si="0"/>
        <v>How many diacritized vowels are in the word \"ni\"?</v>
      </c>
      <c r="D18" s="2" t="str">
        <f t="shared" si="1"/>
        <v>Ilang patinig ang mayroong tuldik sa salitang \"ni\"?</v>
      </c>
      <c r="E18" s="2">
        <f t="shared" si="2"/>
        <v>0</v>
      </c>
      <c r="F18" s="2" t="s">
        <v>546</v>
      </c>
      <c r="G18" s="2" t="s">
        <v>547</v>
      </c>
      <c r="H18" s="2" t="s">
        <v>547</v>
      </c>
      <c r="I18" s="2">
        <v>0</v>
      </c>
    </row>
    <row r="19" spans="1:9" ht="15.75" customHeight="1" x14ac:dyDescent="0.15">
      <c r="A19" s="2" t="s">
        <v>512</v>
      </c>
      <c r="B19" s="2" t="s">
        <v>513</v>
      </c>
      <c r="C19" s="2" t="str">
        <f t="shared" si="0"/>
        <v>How many diacritized vowels are in the word \"o\"?</v>
      </c>
      <c r="D19" s="2" t="str">
        <f t="shared" si="1"/>
        <v>Ilang patinig ang mayroong tuldik sa salitang \"o\"?</v>
      </c>
      <c r="E19" s="2">
        <f t="shared" si="2"/>
        <v>0</v>
      </c>
      <c r="F19" s="2" t="s">
        <v>548</v>
      </c>
      <c r="G19" s="2" t="s">
        <v>549</v>
      </c>
      <c r="H19" s="2" t="s">
        <v>549</v>
      </c>
      <c r="I19" s="2">
        <v>0</v>
      </c>
    </row>
    <row r="20" spans="1:9" ht="15.75" customHeight="1" x14ac:dyDescent="0.15">
      <c r="A20" s="2" t="s">
        <v>512</v>
      </c>
      <c r="B20" s="2" t="s">
        <v>513</v>
      </c>
      <c r="C20" s="2" t="str">
        <f t="shared" si="0"/>
        <v>How many diacritized vowels are in the word \"pag\"?</v>
      </c>
      <c r="D20" s="2" t="str">
        <f t="shared" si="1"/>
        <v>Ilang patinig ang mayroong tuldik sa salitang \"pag\"?</v>
      </c>
      <c r="E20" s="2">
        <f t="shared" si="2"/>
        <v>0</v>
      </c>
      <c r="F20" s="2" t="s">
        <v>550</v>
      </c>
      <c r="G20" s="2" t="s">
        <v>551</v>
      </c>
      <c r="H20" s="2" t="s">
        <v>551</v>
      </c>
      <c r="I20" s="2">
        <v>0</v>
      </c>
    </row>
    <row r="21" spans="1:9" ht="15.75" customHeight="1" x14ac:dyDescent="0.15">
      <c r="A21" s="2" t="s">
        <v>512</v>
      </c>
      <c r="B21" s="2" t="s">
        <v>513</v>
      </c>
      <c r="C21" s="2" t="str">
        <f t="shared" si="0"/>
        <v>How many diacritized vowels are in the word \"daw\"?</v>
      </c>
      <c r="D21" s="2" t="str">
        <f t="shared" si="1"/>
        <v>Ilang patinig ang mayroong tuldik sa salitang \"daw\"?</v>
      </c>
      <c r="E21" s="2">
        <f t="shared" si="2"/>
        <v>0</v>
      </c>
      <c r="F21" s="2" t="s">
        <v>552</v>
      </c>
      <c r="G21" s="2" t="s">
        <v>553</v>
      </c>
      <c r="H21" s="2" t="s">
        <v>553</v>
      </c>
      <c r="I21" s="2">
        <v>0</v>
      </c>
    </row>
    <row r="22" spans="1:9" ht="15.75" customHeight="1" x14ac:dyDescent="0.15">
      <c r="A22" s="2" t="s">
        <v>512</v>
      </c>
      <c r="B22" s="2" t="s">
        <v>513</v>
      </c>
      <c r="C22" s="2" t="str">
        <f t="shared" si="0"/>
        <v>How many diacritized vowels are in the word \"raw\"?</v>
      </c>
      <c r="D22" s="2" t="str">
        <f t="shared" si="1"/>
        <v>Ilang patinig ang mayroong tuldik sa salitang \"raw\"?</v>
      </c>
      <c r="E22" s="2">
        <f t="shared" si="2"/>
        <v>0</v>
      </c>
      <c r="F22" s="2" t="s">
        <v>554</v>
      </c>
      <c r="G22" s="2" t="s">
        <v>555</v>
      </c>
      <c r="H22" s="2" t="s">
        <v>555</v>
      </c>
      <c r="I22" s="2">
        <v>0</v>
      </c>
    </row>
    <row r="23" spans="1:9" ht="15.75" customHeight="1" x14ac:dyDescent="0.15">
      <c r="A23" s="2" t="s">
        <v>512</v>
      </c>
      <c r="B23" s="2" t="s">
        <v>513</v>
      </c>
      <c r="C23" s="2" t="str">
        <f t="shared" si="0"/>
        <v>How many diacritized vowels are in the word \"tren\"?</v>
      </c>
      <c r="D23" s="2" t="str">
        <f t="shared" si="1"/>
        <v>Ilang patinig ang mayroong tuldik sa salitang \"tren\"?</v>
      </c>
      <c r="E23" s="2">
        <f t="shared" si="2"/>
        <v>0</v>
      </c>
      <c r="F23" s="2" t="s">
        <v>556</v>
      </c>
      <c r="G23" s="2" t="s">
        <v>557</v>
      </c>
      <c r="H23" s="2" t="s">
        <v>557</v>
      </c>
      <c r="I23" s="2">
        <v>0</v>
      </c>
    </row>
    <row r="24" spans="1:9" ht="15.75" customHeight="1" x14ac:dyDescent="0.15">
      <c r="A24" s="2" t="s">
        <v>512</v>
      </c>
      <c r="B24" s="2" t="s">
        <v>513</v>
      </c>
      <c r="C24" s="2" t="str">
        <f t="shared" si="0"/>
        <v>How many diacritized vowels are in the word \"din\"?</v>
      </c>
      <c r="D24" s="2" t="str">
        <f t="shared" si="1"/>
        <v>Ilang patinig ang mayroong tuldik sa salitang \"din\"?</v>
      </c>
      <c r="E24" s="2">
        <f t="shared" si="2"/>
        <v>0</v>
      </c>
      <c r="F24" s="2" t="s">
        <v>558</v>
      </c>
      <c r="G24" s="2" t="s">
        <v>559</v>
      </c>
      <c r="H24" s="2" t="s">
        <v>559</v>
      </c>
      <c r="I24" s="2">
        <v>0</v>
      </c>
    </row>
    <row r="25" spans="1:9" ht="15.75" customHeight="1" x14ac:dyDescent="0.15">
      <c r="A25" s="2" t="s">
        <v>512</v>
      </c>
      <c r="B25" s="2" t="s">
        <v>513</v>
      </c>
      <c r="C25" s="2" t="str">
        <f t="shared" si="0"/>
        <v>How many diacritized vowels are in the word \"rin\"?</v>
      </c>
      <c r="D25" s="2" t="str">
        <f t="shared" si="1"/>
        <v>Ilang patinig ang mayroong tuldik sa salitang \"rin\"?</v>
      </c>
      <c r="E25" s="2">
        <f t="shared" si="2"/>
        <v>0</v>
      </c>
      <c r="F25" s="2" t="s">
        <v>560</v>
      </c>
      <c r="G25" s="2" t="s">
        <v>561</v>
      </c>
      <c r="H25" s="2" t="s">
        <v>561</v>
      </c>
      <c r="I25" s="2">
        <v>0</v>
      </c>
    </row>
    <row r="26" spans="1:9" ht="15.75" customHeight="1" x14ac:dyDescent="0.15">
      <c r="A26" s="2" t="s">
        <v>512</v>
      </c>
      <c r="B26" s="2" t="s">
        <v>513</v>
      </c>
      <c r="C26" s="2" t="str">
        <f t="shared" si="0"/>
        <v>How many diacritized vowels are in the word \"dyip\"?</v>
      </c>
      <c r="D26" s="2" t="str">
        <f t="shared" si="1"/>
        <v>Ilang patinig ang mayroong tuldik sa salitang \"dyip\"?</v>
      </c>
      <c r="E26" s="2">
        <f t="shared" si="2"/>
        <v>0</v>
      </c>
      <c r="F26" s="2" t="s">
        <v>562</v>
      </c>
      <c r="G26" s="2" t="s">
        <v>563</v>
      </c>
      <c r="H26" s="2" t="s">
        <v>563</v>
      </c>
      <c r="I26" s="2">
        <v>0</v>
      </c>
    </row>
    <row r="27" spans="1:9" ht="15.75" customHeight="1" x14ac:dyDescent="0.15">
      <c r="A27" s="2" t="s">
        <v>512</v>
      </c>
      <c r="B27" s="2" t="s">
        <v>513</v>
      </c>
      <c r="C27" s="2" t="str">
        <f t="shared" si="0"/>
        <v>How many diacritized vowels are in the word \"frak\"?</v>
      </c>
      <c r="D27" s="2" t="str">
        <f t="shared" si="1"/>
        <v>Ilang patinig ang mayroong tuldik sa salitang \"frak\"?</v>
      </c>
      <c r="E27" s="2">
        <f t="shared" si="2"/>
        <v>0</v>
      </c>
      <c r="F27" s="2" t="s">
        <v>564</v>
      </c>
      <c r="G27" s="2" t="s">
        <v>565</v>
      </c>
      <c r="H27" s="2" t="s">
        <v>565</v>
      </c>
      <c r="I27" s="2">
        <v>0</v>
      </c>
    </row>
    <row r="28" spans="1:9" ht="15.75" customHeight="1" x14ac:dyDescent="0.15">
      <c r="A28" s="2" t="s">
        <v>512</v>
      </c>
      <c r="B28" s="2" t="s">
        <v>513</v>
      </c>
      <c r="C28" s="2" t="str">
        <f t="shared" si="0"/>
        <v>How many diacritized vowels are in the word \"CPU\"?</v>
      </c>
      <c r="D28" s="2" t="str">
        <f t="shared" si="1"/>
        <v>Ilang patinig ang mayroong tuldik sa salitang \"CPU\"?</v>
      </c>
      <c r="E28" s="2">
        <f t="shared" si="2"/>
        <v>0</v>
      </c>
      <c r="F28" s="2" t="s">
        <v>566</v>
      </c>
      <c r="G28" s="2" t="s">
        <v>567</v>
      </c>
      <c r="H28" s="2" t="s">
        <v>567</v>
      </c>
      <c r="I28" s="2">
        <v>0</v>
      </c>
    </row>
    <row r="29" spans="1:9" ht="15.75" customHeight="1" x14ac:dyDescent="0.15">
      <c r="A29" s="2" t="s">
        <v>512</v>
      </c>
      <c r="B29" s="2" t="s">
        <v>513</v>
      </c>
      <c r="C29" s="2" t="str">
        <f t="shared" si="0"/>
        <v>How many diacritized vowels are in the word \"pan\"?</v>
      </c>
      <c r="D29" s="2" t="str">
        <f t="shared" si="1"/>
        <v>Ilang patinig ang mayroong tuldik sa salitang \"pan\"?</v>
      </c>
      <c r="E29" s="2">
        <f t="shared" si="2"/>
        <v>0</v>
      </c>
      <c r="F29" s="2" t="s">
        <v>568</v>
      </c>
      <c r="G29" s="2" t="s">
        <v>569</v>
      </c>
      <c r="H29" s="2" t="s">
        <v>569</v>
      </c>
      <c r="I29" s="2">
        <v>0</v>
      </c>
    </row>
    <row r="30" spans="1:9" ht="15.75" customHeight="1" x14ac:dyDescent="0.15">
      <c r="A30" s="2" t="s">
        <v>512</v>
      </c>
      <c r="B30" s="2" t="s">
        <v>513</v>
      </c>
      <c r="C30" s="2" t="str">
        <f t="shared" si="0"/>
        <v>How many diacritized vowels are in the word \"si\"?</v>
      </c>
      <c r="D30" s="2" t="str">
        <f t="shared" si="1"/>
        <v>Ilang patinig ang mayroong tuldik sa salitang \"si\"?</v>
      </c>
      <c r="E30" s="2">
        <f t="shared" si="2"/>
        <v>0</v>
      </c>
      <c r="F30" s="2" t="s">
        <v>570</v>
      </c>
      <c r="G30" s="2" t="s">
        <v>571</v>
      </c>
      <c r="H30" s="2" t="s">
        <v>571</v>
      </c>
      <c r="I30" s="2">
        <v>0</v>
      </c>
    </row>
    <row r="31" spans="1:9" ht="15.75" customHeight="1" x14ac:dyDescent="0.15">
      <c r="A31" s="2" t="s">
        <v>512</v>
      </c>
      <c r="B31" s="2" t="s">
        <v>513</v>
      </c>
      <c r="C31" s="2" t="str">
        <f t="shared" si="0"/>
        <v>How many diacritized vowels are in the word \"dram\"?</v>
      </c>
      <c r="D31" s="2" t="str">
        <f t="shared" si="1"/>
        <v>Ilang patinig ang mayroong tuldik sa salitang \"dram\"?</v>
      </c>
      <c r="E31" s="2">
        <f t="shared" si="2"/>
        <v>0</v>
      </c>
      <c r="F31" s="2" t="s">
        <v>572</v>
      </c>
      <c r="G31" s="2" t="s">
        <v>573</v>
      </c>
      <c r="H31" s="2" t="s">
        <v>573</v>
      </c>
      <c r="I31" s="2">
        <v>0</v>
      </c>
    </row>
    <row r="32" spans="1:9" ht="15.75" customHeight="1" x14ac:dyDescent="0.15">
      <c r="A32" s="2" t="s">
        <v>512</v>
      </c>
      <c r="B32" s="2" t="s">
        <v>513</v>
      </c>
      <c r="C32" s="2" t="str">
        <f t="shared" si="0"/>
        <v>How many diacritized vowels are in the word \"USA\"?</v>
      </c>
      <c r="D32" s="2" t="str">
        <f t="shared" si="1"/>
        <v>Ilang patinig ang mayroong tuldik sa salitang \"USA\"?</v>
      </c>
      <c r="E32" s="2">
        <f t="shared" si="2"/>
        <v>0</v>
      </c>
      <c r="F32" s="2" t="s">
        <v>574</v>
      </c>
      <c r="G32" s="2" t="s">
        <v>575</v>
      </c>
      <c r="H32" s="2" t="s">
        <v>575</v>
      </c>
      <c r="I32" s="2">
        <v>0</v>
      </c>
    </row>
    <row r="33" spans="1:9" ht="15.75" customHeight="1" x14ac:dyDescent="0.15">
      <c r="A33" s="2" t="s">
        <v>512</v>
      </c>
      <c r="B33" s="2" t="s">
        <v>513</v>
      </c>
      <c r="C33" s="2" t="str">
        <f t="shared" si="0"/>
        <v>How many diacritized vowels are in the word \"Mars\"?</v>
      </c>
      <c r="D33" s="2" t="str">
        <f t="shared" si="1"/>
        <v>Ilang patinig ang mayroong tuldik sa salitang \"Mars\"?</v>
      </c>
      <c r="E33" s="2">
        <f t="shared" si="2"/>
        <v>0</v>
      </c>
      <c r="F33" s="2" t="s">
        <v>576</v>
      </c>
      <c r="G33" s="2" t="s">
        <v>577</v>
      </c>
      <c r="H33" s="2" t="s">
        <v>577</v>
      </c>
      <c r="I33" s="2">
        <v>0</v>
      </c>
    </row>
    <row r="34" spans="1:9" ht="15.75" customHeight="1" x14ac:dyDescent="0.15">
      <c r="A34" s="2" t="s">
        <v>512</v>
      </c>
      <c r="B34" s="2" t="s">
        <v>513</v>
      </c>
      <c r="C34" s="2" t="str">
        <f t="shared" si="0"/>
        <v>How many diacritized vowels are in the word \"ay\"?</v>
      </c>
      <c r="D34" s="2" t="str">
        <f t="shared" si="1"/>
        <v>Ilang patinig ang mayroong tuldik sa salitang \"ay\"?</v>
      </c>
      <c r="E34" s="2">
        <f t="shared" si="2"/>
        <v>0</v>
      </c>
      <c r="F34" s="2" t="s">
        <v>578</v>
      </c>
      <c r="G34" s="2" t="s">
        <v>579</v>
      </c>
      <c r="H34" s="2" t="s">
        <v>579</v>
      </c>
      <c r="I34" s="2">
        <v>0</v>
      </c>
    </row>
    <row r="35" spans="1:9" ht="15.75" customHeight="1" x14ac:dyDescent="0.15">
      <c r="A35" s="2" t="s">
        <v>512</v>
      </c>
      <c r="B35" s="2" t="s">
        <v>513</v>
      </c>
      <c r="C35" s="2" t="str">
        <f t="shared" si="0"/>
        <v>How many diacritized vowels are in the word \"nánok\"?</v>
      </c>
      <c r="D35" s="2" t="str">
        <f t="shared" si="1"/>
        <v>Ilang patinig ang mayroong tuldik sa salitang \"nánok\"?</v>
      </c>
      <c r="E35" s="2">
        <f t="shared" si="2"/>
        <v>1</v>
      </c>
      <c r="F35" s="2" t="s">
        <v>580</v>
      </c>
      <c r="G35" s="14" t="s">
        <v>581</v>
      </c>
      <c r="H35" s="2" t="s">
        <v>582</v>
      </c>
      <c r="I35" s="15">
        <v>1</v>
      </c>
    </row>
    <row r="36" spans="1:9" ht="15.75" customHeight="1" x14ac:dyDescent="0.15">
      <c r="A36" s="2" t="s">
        <v>512</v>
      </c>
      <c r="B36" s="2" t="s">
        <v>513</v>
      </c>
      <c r="C36" s="2" t="str">
        <f t="shared" si="0"/>
        <v>How many diacritized vowels are in the word \"irók\"?</v>
      </c>
      <c r="D36" s="2" t="str">
        <f t="shared" si="1"/>
        <v>Ilang patinig ang mayroong tuldik sa salitang \"irók\"?</v>
      </c>
      <c r="E36" s="2">
        <f t="shared" si="2"/>
        <v>1</v>
      </c>
      <c r="F36" s="2" t="s">
        <v>583</v>
      </c>
      <c r="G36" s="14" t="s">
        <v>584</v>
      </c>
      <c r="H36" s="2" t="s">
        <v>585</v>
      </c>
      <c r="I36" s="15">
        <v>1</v>
      </c>
    </row>
    <row r="37" spans="1:9" ht="15.75" customHeight="1" x14ac:dyDescent="0.15">
      <c r="A37" s="2" t="s">
        <v>512</v>
      </c>
      <c r="B37" s="2" t="s">
        <v>513</v>
      </c>
      <c r="C37" s="2" t="str">
        <f t="shared" si="0"/>
        <v>How many diacritized vowels are in the word \"língkat\"?</v>
      </c>
      <c r="D37" s="2" t="str">
        <f t="shared" si="1"/>
        <v>Ilang patinig ang mayroong tuldik sa salitang \"língkat\"?</v>
      </c>
      <c r="E37" s="2">
        <f t="shared" si="2"/>
        <v>1</v>
      </c>
      <c r="F37" s="2" t="s">
        <v>586</v>
      </c>
      <c r="G37" s="14" t="s">
        <v>587</v>
      </c>
      <c r="H37" s="2" t="s">
        <v>588</v>
      </c>
      <c r="I37" s="15">
        <v>1</v>
      </c>
    </row>
    <row r="38" spans="1:9" ht="15.75" customHeight="1" x14ac:dyDescent="0.15">
      <c r="A38" s="2" t="s">
        <v>512</v>
      </c>
      <c r="B38" s="2" t="s">
        <v>513</v>
      </c>
      <c r="C38" s="2" t="str">
        <f t="shared" si="0"/>
        <v>How many diacritized vowels are in the word \"tudláng\"?</v>
      </c>
      <c r="D38" s="2" t="str">
        <f t="shared" si="1"/>
        <v>Ilang patinig ang mayroong tuldik sa salitang \"tudláng\"?</v>
      </c>
      <c r="E38" s="2">
        <f t="shared" si="2"/>
        <v>1</v>
      </c>
      <c r="F38" s="2" t="s">
        <v>589</v>
      </c>
      <c r="G38" s="14" t="s">
        <v>590</v>
      </c>
      <c r="H38" s="2" t="s">
        <v>591</v>
      </c>
      <c r="I38" s="15">
        <v>1</v>
      </c>
    </row>
    <row r="39" spans="1:9" ht="15.75" customHeight="1" x14ac:dyDescent="0.15">
      <c r="A39" s="2" t="s">
        <v>512</v>
      </c>
      <c r="B39" s="2" t="s">
        <v>513</v>
      </c>
      <c r="C39" s="2" t="str">
        <f t="shared" si="0"/>
        <v>How many diacritized vowels are in the word \"dogà\"?</v>
      </c>
      <c r="D39" s="2" t="str">
        <f t="shared" si="1"/>
        <v>Ilang patinig ang mayroong tuldik sa salitang \"dogà\"?</v>
      </c>
      <c r="E39" s="2">
        <f t="shared" si="2"/>
        <v>1</v>
      </c>
      <c r="F39" s="2" t="s">
        <v>592</v>
      </c>
      <c r="G39" s="14" t="s">
        <v>593</v>
      </c>
      <c r="H39" s="2" t="s">
        <v>594</v>
      </c>
      <c r="I39" s="15">
        <v>1</v>
      </c>
    </row>
    <row r="40" spans="1:9" ht="15.75" customHeight="1" x14ac:dyDescent="0.15">
      <c r="A40" s="2" t="s">
        <v>512</v>
      </c>
      <c r="B40" s="2" t="s">
        <v>513</v>
      </c>
      <c r="C40" s="2" t="str">
        <f t="shared" si="0"/>
        <v>How many diacritized vowels are in the word \"dúhol\"?</v>
      </c>
      <c r="D40" s="2" t="str">
        <f t="shared" si="1"/>
        <v>Ilang patinig ang mayroong tuldik sa salitang \"dúhol\"?</v>
      </c>
      <c r="E40" s="2">
        <f t="shared" si="2"/>
        <v>1</v>
      </c>
      <c r="F40" s="2" t="s">
        <v>595</v>
      </c>
      <c r="G40" s="14" t="s">
        <v>596</v>
      </c>
      <c r="H40" s="2" t="s">
        <v>597</v>
      </c>
      <c r="I40" s="15">
        <v>1</v>
      </c>
    </row>
    <row r="41" spans="1:9" ht="15.75" customHeight="1" x14ac:dyDescent="0.15">
      <c r="A41" s="2" t="s">
        <v>512</v>
      </c>
      <c r="B41" s="2" t="s">
        <v>513</v>
      </c>
      <c r="C41" s="2" t="str">
        <f t="shared" si="0"/>
        <v>How many diacritized vowels are in the word \"tsék-ap\"?</v>
      </c>
      <c r="D41" s="2" t="str">
        <f t="shared" si="1"/>
        <v>Ilang patinig ang mayroong tuldik sa salitang \"tsék-ap\"?</v>
      </c>
      <c r="E41" s="2">
        <f t="shared" si="2"/>
        <v>1</v>
      </c>
      <c r="F41" s="2" t="s">
        <v>598</v>
      </c>
      <c r="G41" s="14" t="s">
        <v>599</v>
      </c>
      <c r="H41" s="2" t="s">
        <v>600</v>
      </c>
      <c r="I41" s="15">
        <v>1</v>
      </c>
    </row>
    <row r="42" spans="1:9" ht="15.75" customHeight="1" x14ac:dyDescent="0.15">
      <c r="A42" s="2" t="s">
        <v>512</v>
      </c>
      <c r="B42" s="2" t="s">
        <v>513</v>
      </c>
      <c r="C42" s="2" t="str">
        <f t="shared" si="0"/>
        <v>How many diacritized vowels are in the word \"taryáng\"?</v>
      </c>
      <c r="D42" s="2" t="str">
        <f t="shared" si="1"/>
        <v>Ilang patinig ang mayroong tuldik sa salitang \"taryáng\"?</v>
      </c>
      <c r="E42" s="2">
        <f t="shared" si="2"/>
        <v>1</v>
      </c>
      <c r="F42" s="2" t="s">
        <v>601</v>
      </c>
      <c r="G42" s="14" t="s">
        <v>602</v>
      </c>
      <c r="H42" s="2" t="s">
        <v>603</v>
      </c>
      <c r="I42" s="15">
        <v>1</v>
      </c>
    </row>
    <row r="43" spans="1:9" ht="15.75" customHeight="1" x14ac:dyDescent="0.15">
      <c r="A43" s="2" t="s">
        <v>512</v>
      </c>
      <c r="B43" s="2" t="s">
        <v>513</v>
      </c>
      <c r="C43" s="2" t="str">
        <f t="shared" si="0"/>
        <v>How many diacritized vowels are in the word \"latì\"?</v>
      </c>
      <c r="D43" s="2" t="str">
        <f t="shared" si="1"/>
        <v>Ilang patinig ang mayroong tuldik sa salitang \"latì\"?</v>
      </c>
      <c r="E43" s="2">
        <f t="shared" si="2"/>
        <v>1</v>
      </c>
      <c r="F43" s="2" t="s">
        <v>604</v>
      </c>
      <c r="G43" s="14" t="s">
        <v>605</v>
      </c>
      <c r="H43" s="2" t="s">
        <v>606</v>
      </c>
      <c r="I43" s="15">
        <v>1</v>
      </c>
    </row>
    <row r="44" spans="1:9" ht="15.75" customHeight="1" x14ac:dyDescent="0.15">
      <c r="A44" s="2" t="s">
        <v>512</v>
      </c>
      <c r="B44" s="2" t="s">
        <v>513</v>
      </c>
      <c r="C44" s="2" t="str">
        <f t="shared" si="0"/>
        <v>How many diacritized vowels are in the word \"dekóro\"?</v>
      </c>
      <c r="D44" s="2" t="str">
        <f t="shared" si="1"/>
        <v>Ilang patinig ang mayroong tuldik sa salitang \"dekóro\"?</v>
      </c>
      <c r="E44" s="2">
        <f t="shared" si="2"/>
        <v>1</v>
      </c>
      <c r="F44" s="2" t="s">
        <v>607</v>
      </c>
      <c r="G44" s="14" t="s">
        <v>608</v>
      </c>
      <c r="H44" s="2" t="s">
        <v>609</v>
      </c>
      <c r="I44" s="15">
        <v>1</v>
      </c>
    </row>
    <row r="45" spans="1:9" ht="15.75" customHeight="1" x14ac:dyDescent="0.15">
      <c r="A45" s="2" t="s">
        <v>512</v>
      </c>
      <c r="B45" s="2" t="s">
        <v>513</v>
      </c>
      <c r="C45" s="2" t="str">
        <f t="shared" si="0"/>
        <v>How many diacritized vowels are in the word \"abúab\"?</v>
      </c>
      <c r="D45" s="2" t="str">
        <f t="shared" si="1"/>
        <v>Ilang patinig ang mayroong tuldik sa salitang \"abúab\"?</v>
      </c>
      <c r="E45" s="2">
        <f t="shared" si="2"/>
        <v>1</v>
      </c>
      <c r="F45" s="2" t="s">
        <v>610</v>
      </c>
      <c r="G45" s="14" t="s">
        <v>611</v>
      </c>
      <c r="H45" s="2" t="s">
        <v>612</v>
      </c>
      <c r="I45" s="15">
        <v>1</v>
      </c>
    </row>
    <row r="46" spans="1:9" ht="15.75" customHeight="1" x14ac:dyDescent="0.15">
      <c r="A46" s="2" t="s">
        <v>512</v>
      </c>
      <c r="B46" s="2" t="s">
        <v>513</v>
      </c>
      <c r="C46" s="2" t="str">
        <f t="shared" si="0"/>
        <v>How many diacritized vowels are in the word \"bawaybáway\"?</v>
      </c>
      <c r="D46" s="2" t="str">
        <f t="shared" si="1"/>
        <v>Ilang patinig ang mayroong tuldik sa salitang \"bawaybáway\"?</v>
      </c>
      <c r="E46" s="2">
        <f t="shared" si="2"/>
        <v>1</v>
      </c>
      <c r="F46" s="2" t="s">
        <v>613</v>
      </c>
      <c r="G46" s="14" t="s">
        <v>614</v>
      </c>
      <c r="H46" s="2" t="s">
        <v>615</v>
      </c>
      <c r="I46" s="15">
        <v>1</v>
      </c>
    </row>
    <row r="47" spans="1:9" ht="15.75" customHeight="1" x14ac:dyDescent="0.15">
      <c r="A47" s="2" t="s">
        <v>512</v>
      </c>
      <c r="B47" s="2" t="s">
        <v>513</v>
      </c>
      <c r="C47" s="2" t="str">
        <f t="shared" si="0"/>
        <v>How many diacritized vowels are in the word \"guguyunán\"?</v>
      </c>
      <c r="D47" s="2" t="str">
        <f t="shared" si="1"/>
        <v>Ilang patinig ang mayroong tuldik sa salitang \"guguyunán\"?</v>
      </c>
      <c r="E47" s="2">
        <f t="shared" si="2"/>
        <v>1</v>
      </c>
      <c r="F47" s="2" t="s">
        <v>616</v>
      </c>
      <c r="G47" s="14" t="s">
        <v>617</v>
      </c>
      <c r="H47" s="2" t="s">
        <v>618</v>
      </c>
      <c r="I47" s="15">
        <v>1</v>
      </c>
    </row>
    <row r="48" spans="1:9" ht="15.75" customHeight="1" x14ac:dyDescent="0.15">
      <c r="A48" s="2" t="s">
        <v>512</v>
      </c>
      <c r="B48" s="2" t="s">
        <v>513</v>
      </c>
      <c r="C48" s="2" t="str">
        <f t="shared" si="0"/>
        <v>How many diacritized vowels are in the word \"bugák\"?</v>
      </c>
      <c r="D48" s="2" t="str">
        <f t="shared" si="1"/>
        <v>Ilang patinig ang mayroong tuldik sa salitang \"bugák\"?</v>
      </c>
      <c r="E48" s="2">
        <f t="shared" si="2"/>
        <v>1</v>
      </c>
      <c r="F48" s="2" t="s">
        <v>619</v>
      </c>
      <c r="G48" s="14" t="s">
        <v>620</v>
      </c>
      <c r="H48" s="2" t="s">
        <v>621</v>
      </c>
      <c r="I48" s="15">
        <v>1</v>
      </c>
    </row>
    <row r="49" spans="1:9" ht="15.75" customHeight="1" x14ac:dyDescent="0.15">
      <c r="A49" s="2" t="s">
        <v>512</v>
      </c>
      <c r="B49" s="2" t="s">
        <v>513</v>
      </c>
      <c r="C49" s="2" t="str">
        <f t="shared" si="0"/>
        <v>How many diacritized vowels are in the word \"askád\"?</v>
      </c>
      <c r="D49" s="2" t="str">
        <f t="shared" si="1"/>
        <v>Ilang patinig ang mayroong tuldik sa salitang \"askád\"?</v>
      </c>
      <c r="E49" s="2">
        <f t="shared" si="2"/>
        <v>1</v>
      </c>
      <c r="F49" s="2" t="s">
        <v>622</v>
      </c>
      <c r="G49" s="14" t="s">
        <v>623</v>
      </c>
      <c r="H49" s="2" t="s">
        <v>624</v>
      </c>
      <c r="I49" s="15">
        <v>1</v>
      </c>
    </row>
    <row r="50" spans="1:9" ht="15.75" customHeight="1" x14ac:dyDescent="0.15">
      <c r="A50" s="2" t="s">
        <v>512</v>
      </c>
      <c r="B50" s="2" t="s">
        <v>513</v>
      </c>
      <c r="C50" s="2" t="str">
        <f t="shared" si="0"/>
        <v>How many diacritized vowels are in the word \"léwek\"?</v>
      </c>
      <c r="D50" s="2" t="str">
        <f t="shared" si="1"/>
        <v>Ilang patinig ang mayroong tuldik sa salitang \"léwek\"?</v>
      </c>
      <c r="E50" s="2">
        <f t="shared" si="2"/>
        <v>1</v>
      </c>
      <c r="F50" s="2" t="s">
        <v>625</v>
      </c>
      <c r="G50" s="14" t="s">
        <v>626</v>
      </c>
      <c r="H50" s="2" t="s">
        <v>627</v>
      </c>
      <c r="I50" s="15">
        <v>1</v>
      </c>
    </row>
    <row r="51" spans="1:9" ht="15.75" customHeight="1" x14ac:dyDescent="0.15">
      <c r="A51" s="2" t="s">
        <v>512</v>
      </c>
      <c r="B51" s="2" t="s">
        <v>513</v>
      </c>
      <c r="C51" s="2" t="str">
        <f t="shared" si="0"/>
        <v>How many diacritized vowels are in the word \"hangák\"?</v>
      </c>
      <c r="D51" s="2" t="str">
        <f t="shared" si="1"/>
        <v>Ilang patinig ang mayroong tuldik sa salitang \"hangák\"?</v>
      </c>
      <c r="E51" s="2">
        <f t="shared" si="2"/>
        <v>1</v>
      </c>
      <c r="F51" s="2" t="s">
        <v>628</v>
      </c>
      <c r="G51" s="14" t="s">
        <v>629</v>
      </c>
      <c r="H51" s="2" t="s">
        <v>630</v>
      </c>
      <c r="I51" s="15">
        <v>1</v>
      </c>
    </row>
    <row r="52" spans="1:9" ht="15.75" customHeight="1" x14ac:dyDescent="0.15">
      <c r="A52" s="2" t="s">
        <v>512</v>
      </c>
      <c r="B52" s="2" t="s">
        <v>513</v>
      </c>
      <c r="C52" s="2" t="str">
        <f t="shared" si="0"/>
        <v>How many diacritized vowels are in the word \"máster\"?</v>
      </c>
      <c r="D52" s="2" t="str">
        <f t="shared" si="1"/>
        <v>Ilang patinig ang mayroong tuldik sa salitang \"máster\"?</v>
      </c>
      <c r="E52" s="2">
        <f t="shared" si="2"/>
        <v>1</v>
      </c>
      <c r="F52" s="2" t="s">
        <v>631</v>
      </c>
      <c r="G52" s="14" t="s">
        <v>632</v>
      </c>
      <c r="H52" s="2" t="s">
        <v>633</v>
      </c>
      <c r="I52" s="15">
        <v>1</v>
      </c>
    </row>
    <row r="53" spans="1:9" ht="15.75" customHeight="1" x14ac:dyDescent="0.15">
      <c r="A53" s="2" t="s">
        <v>512</v>
      </c>
      <c r="B53" s="2" t="s">
        <v>513</v>
      </c>
      <c r="C53" s="2" t="str">
        <f t="shared" si="0"/>
        <v>How many diacritized vowels are in the word \"kóbag\"?</v>
      </c>
      <c r="D53" s="2" t="str">
        <f t="shared" si="1"/>
        <v>Ilang patinig ang mayroong tuldik sa salitang \"kóbag\"?</v>
      </c>
      <c r="E53" s="2">
        <f t="shared" si="2"/>
        <v>1</v>
      </c>
      <c r="F53" s="2" t="s">
        <v>634</v>
      </c>
      <c r="G53" s="14" t="s">
        <v>635</v>
      </c>
      <c r="H53" s="2" t="s">
        <v>636</v>
      </c>
      <c r="I53" s="15">
        <v>1</v>
      </c>
    </row>
    <row r="54" spans="1:9" ht="15.75" customHeight="1" x14ac:dyDescent="0.15">
      <c r="A54" s="2" t="s">
        <v>512</v>
      </c>
      <c r="B54" s="2" t="s">
        <v>513</v>
      </c>
      <c r="C54" s="2" t="str">
        <f t="shared" si="0"/>
        <v>How many diacritized vowels are in the word \"kalapnít\"?</v>
      </c>
      <c r="D54" s="2" t="str">
        <f t="shared" si="1"/>
        <v>Ilang patinig ang mayroong tuldik sa salitang \"kalapnít\"?</v>
      </c>
      <c r="E54" s="2">
        <f t="shared" si="2"/>
        <v>1</v>
      </c>
      <c r="F54" s="2" t="s">
        <v>637</v>
      </c>
      <c r="G54" s="14" t="s">
        <v>638</v>
      </c>
      <c r="H54" s="2" t="s">
        <v>639</v>
      </c>
      <c r="I54" s="15">
        <v>1</v>
      </c>
    </row>
    <row r="55" spans="1:9" ht="15.75" customHeight="1" x14ac:dyDescent="0.15">
      <c r="A55" s="2" t="s">
        <v>512</v>
      </c>
      <c r="B55" s="2" t="s">
        <v>513</v>
      </c>
      <c r="C55" s="2" t="str">
        <f t="shared" si="0"/>
        <v>How many diacritized vowels are in the word \"tapóng\"?</v>
      </c>
      <c r="D55" s="2" t="str">
        <f t="shared" si="1"/>
        <v>Ilang patinig ang mayroong tuldik sa salitang \"tapóng\"?</v>
      </c>
      <c r="E55" s="2">
        <f t="shared" si="2"/>
        <v>1</v>
      </c>
      <c r="F55" s="2" t="s">
        <v>640</v>
      </c>
      <c r="G55" s="14" t="s">
        <v>641</v>
      </c>
      <c r="H55" s="2" t="s">
        <v>642</v>
      </c>
      <c r="I55" s="15">
        <v>1</v>
      </c>
    </row>
    <row r="56" spans="1:9" ht="15.75" customHeight="1" x14ac:dyDescent="0.15">
      <c r="A56" s="2" t="s">
        <v>512</v>
      </c>
      <c r="B56" s="2" t="s">
        <v>513</v>
      </c>
      <c r="C56" s="2" t="str">
        <f t="shared" si="0"/>
        <v>How many diacritized vowels are in the word \"kádaw\"?</v>
      </c>
      <c r="D56" s="2" t="str">
        <f t="shared" si="1"/>
        <v>Ilang patinig ang mayroong tuldik sa salitang \"kádaw\"?</v>
      </c>
      <c r="E56" s="2">
        <f t="shared" si="2"/>
        <v>1</v>
      </c>
      <c r="F56" s="2" t="s">
        <v>643</v>
      </c>
      <c r="G56" s="14" t="s">
        <v>644</v>
      </c>
      <c r="H56" s="2" t="s">
        <v>645</v>
      </c>
      <c r="I56" s="15">
        <v>1</v>
      </c>
    </row>
    <row r="57" spans="1:9" ht="15.75" customHeight="1" x14ac:dyDescent="0.15">
      <c r="A57" s="2" t="s">
        <v>512</v>
      </c>
      <c r="B57" s="2" t="s">
        <v>513</v>
      </c>
      <c r="C57" s="2" t="str">
        <f t="shared" si="0"/>
        <v>How many diacritized vowels are in the word \"kinséna\"?</v>
      </c>
      <c r="D57" s="2" t="str">
        <f t="shared" si="1"/>
        <v>Ilang patinig ang mayroong tuldik sa salitang \"kinséna\"?</v>
      </c>
      <c r="E57" s="2">
        <f t="shared" si="2"/>
        <v>1</v>
      </c>
      <c r="F57" s="2" t="s">
        <v>646</v>
      </c>
      <c r="G57" s="14" t="s">
        <v>647</v>
      </c>
      <c r="H57" s="2" t="s">
        <v>648</v>
      </c>
      <c r="I57" s="15">
        <v>1</v>
      </c>
    </row>
    <row r="58" spans="1:9" ht="15.75" customHeight="1" x14ac:dyDescent="0.15">
      <c r="A58" s="2" t="s">
        <v>512</v>
      </c>
      <c r="B58" s="2" t="s">
        <v>513</v>
      </c>
      <c r="C58" s="2" t="str">
        <f t="shared" si="0"/>
        <v>How many diacritized vowels are in the word \"adaptáble\"?</v>
      </c>
      <c r="D58" s="2" t="str">
        <f t="shared" si="1"/>
        <v>Ilang patinig ang mayroong tuldik sa salitang \"adaptáble\"?</v>
      </c>
      <c r="E58" s="2">
        <f t="shared" si="2"/>
        <v>1</v>
      </c>
      <c r="F58" s="2" t="s">
        <v>649</v>
      </c>
      <c r="G58" s="14" t="s">
        <v>650</v>
      </c>
      <c r="H58" s="2" t="s">
        <v>651</v>
      </c>
      <c r="I58" s="15">
        <v>1</v>
      </c>
    </row>
    <row r="59" spans="1:9" ht="15.75" customHeight="1" x14ac:dyDescent="0.15">
      <c r="A59" s="2" t="s">
        <v>512</v>
      </c>
      <c r="B59" s="2" t="s">
        <v>513</v>
      </c>
      <c r="C59" s="2" t="str">
        <f t="shared" si="0"/>
        <v>How many diacritized vowels are in the word \"hadyóng\"?</v>
      </c>
      <c r="D59" s="2" t="str">
        <f t="shared" si="1"/>
        <v>Ilang patinig ang mayroong tuldik sa salitang \"hadyóng\"?</v>
      </c>
      <c r="E59" s="2">
        <f t="shared" si="2"/>
        <v>1</v>
      </c>
      <c r="F59" s="2" t="s">
        <v>652</v>
      </c>
      <c r="G59" s="14" t="s">
        <v>653</v>
      </c>
      <c r="H59" s="2" t="s">
        <v>654</v>
      </c>
      <c r="I59" s="15">
        <v>1</v>
      </c>
    </row>
    <row r="60" spans="1:9" ht="15.75" customHeight="1" x14ac:dyDescent="0.15">
      <c r="A60" s="2" t="s">
        <v>512</v>
      </c>
      <c r="B60" s="2" t="s">
        <v>513</v>
      </c>
      <c r="C60" s="2" t="str">
        <f t="shared" si="0"/>
        <v>How many diacritized vowels are in the word \"himúha\"?</v>
      </c>
      <c r="D60" s="2" t="str">
        <f t="shared" si="1"/>
        <v>Ilang patinig ang mayroong tuldik sa salitang \"himúha\"?</v>
      </c>
      <c r="E60" s="2">
        <f t="shared" si="2"/>
        <v>1</v>
      </c>
      <c r="F60" s="2" t="s">
        <v>655</v>
      </c>
      <c r="G60" s="14" t="s">
        <v>656</v>
      </c>
      <c r="H60" s="2" t="s">
        <v>657</v>
      </c>
      <c r="I60" s="15">
        <v>1</v>
      </c>
    </row>
    <row r="61" spans="1:9" ht="15.75" customHeight="1" x14ac:dyDescent="0.15">
      <c r="A61" s="2" t="s">
        <v>512</v>
      </c>
      <c r="B61" s="2" t="s">
        <v>513</v>
      </c>
      <c r="C61" s="2" t="str">
        <f t="shared" si="0"/>
        <v>How many diacritized vowels are in the word \"langsí\"?</v>
      </c>
      <c r="D61" s="2" t="str">
        <f t="shared" si="1"/>
        <v>Ilang patinig ang mayroong tuldik sa salitang \"langsí\"?</v>
      </c>
      <c r="E61" s="2">
        <f t="shared" si="2"/>
        <v>1</v>
      </c>
      <c r="F61" s="2" t="s">
        <v>658</v>
      </c>
      <c r="G61" s="14" t="s">
        <v>659</v>
      </c>
      <c r="H61" s="2" t="s">
        <v>660</v>
      </c>
      <c r="I61" s="15">
        <v>1</v>
      </c>
    </row>
    <row r="62" spans="1:9" ht="15.75" customHeight="1" x14ac:dyDescent="0.15">
      <c r="A62" s="2" t="s">
        <v>512</v>
      </c>
      <c r="B62" s="2" t="s">
        <v>513</v>
      </c>
      <c r="C62" s="2" t="str">
        <f t="shared" si="0"/>
        <v>How many diacritized vowels are in the word \"térter\"?</v>
      </c>
      <c r="D62" s="2" t="str">
        <f t="shared" si="1"/>
        <v>Ilang patinig ang mayroong tuldik sa salitang \"térter\"?</v>
      </c>
      <c r="E62" s="2">
        <f t="shared" si="2"/>
        <v>1</v>
      </c>
      <c r="F62" s="2" t="s">
        <v>661</v>
      </c>
      <c r="G62" s="14" t="s">
        <v>662</v>
      </c>
      <c r="H62" s="2" t="s">
        <v>663</v>
      </c>
      <c r="I62" s="15">
        <v>1</v>
      </c>
    </row>
    <row r="63" spans="1:9" ht="15.75" customHeight="1" x14ac:dyDescent="0.15">
      <c r="A63" s="2" t="s">
        <v>512</v>
      </c>
      <c r="B63" s="2" t="s">
        <v>513</v>
      </c>
      <c r="C63" s="2" t="str">
        <f t="shared" si="0"/>
        <v>How many diacritized vowels are in the word \"puntílya\"?</v>
      </c>
      <c r="D63" s="2" t="str">
        <f t="shared" si="1"/>
        <v>Ilang patinig ang mayroong tuldik sa salitang \"puntílya\"?</v>
      </c>
      <c r="E63" s="2">
        <f t="shared" si="2"/>
        <v>1</v>
      </c>
      <c r="F63" s="2" t="s">
        <v>664</v>
      </c>
      <c r="G63" s="14" t="s">
        <v>665</v>
      </c>
      <c r="H63" s="2" t="s">
        <v>666</v>
      </c>
      <c r="I63" s="15">
        <v>1</v>
      </c>
    </row>
    <row r="64" spans="1:9" ht="15.75" customHeight="1" x14ac:dyDescent="0.15">
      <c r="A64" s="2" t="s">
        <v>512</v>
      </c>
      <c r="B64" s="2" t="s">
        <v>513</v>
      </c>
      <c r="C64" s="2" t="str">
        <f t="shared" si="0"/>
        <v>How many diacritized vowels are in the word \"ismágel\"?</v>
      </c>
      <c r="D64" s="2" t="str">
        <f t="shared" si="1"/>
        <v>Ilang patinig ang mayroong tuldik sa salitang \"ismágel\"?</v>
      </c>
      <c r="E64" s="2">
        <f t="shared" si="2"/>
        <v>1</v>
      </c>
      <c r="F64" s="2" t="s">
        <v>667</v>
      </c>
      <c r="G64" s="14" t="s">
        <v>668</v>
      </c>
      <c r="H64" s="2" t="s">
        <v>669</v>
      </c>
      <c r="I64" s="15">
        <v>1</v>
      </c>
    </row>
    <row r="65" spans="1:9" ht="15.75" customHeight="1" x14ac:dyDescent="0.15">
      <c r="A65" s="2" t="s">
        <v>512</v>
      </c>
      <c r="B65" s="2" t="s">
        <v>513</v>
      </c>
      <c r="C65" s="2" t="str">
        <f t="shared" si="0"/>
        <v>How many diacritized vowels are in the word \"orémus\"?</v>
      </c>
      <c r="D65" s="2" t="str">
        <f t="shared" si="1"/>
        <v>Ilang patinig ang mayroong tuldik sa salitang \"orémus\"?</v>
      </c>
      <c r="E65" s="2">
        <f t="shared" si="2"/>
        <v>1</v>
      </c>
      <c r="F65" s="2" t="s">
        <v>670</v>
      </c>
      <c r="G65" s="14" t="s">
        <v>671</v>
      </c>
      <c r="H65" s="2" t="s">
        <v>672</v>
      </c>
      <c r="I65" s="15">
        <v>1</v>
      </c>
    </row>
    <row r="66" spans="1:9" ht="15.75" customHeight="1" x14ac:dyDescent="0.15">
      <c r="A66" s="2" t="s">
        <v>512</v>
      </c>
      <c r="B66" s="2" t="s">
        <v>513</v>
      </c>
      <c r="C66" s="2" t="str">
        <f t="shared" si="0"/>
        <v>How many diacritized vowels are in the word \"deskonsoládo\"?</v>
      </c>
      <c r="D66" s="2" t="str">
        <f t="shared" si="1"/>
        <v>Ilang patinig ang mayroong tuldik sa salitang \"deskonsoládo\"?</v>
      </c>
      <c r="E66" s="2">
        <f t="shared" si="2"/>
        <v>1</v>
      </c>
      <c r="F66" s="2" t="s">
        <v>673</v>
      </c>
      <c r="G66" s="14" t="s">
        <v>674</v>
      </c>
      <c r="H66" s="2" t="s">
        <v>675</v>
      </c>
      <c r="I66" s="15">
        <v>1</v>
      </c>
    </row>
    <row r="67" spans="1:9" ht="15.75" customHeight="1" x14ac:dyDescent="0.15">
      <c r="A67" s="2" t="s">
        <v>512</v>
      </c>
      <c r="B67" s="2" t="s">
        <v>513</v>
      </c>
      <c r="C67" s="2" t="str">
        <f t="shared" si="0"/>
        <v>How many diacritized vowels are in the word \"taníba\"?</v>
      </c>
      <c r="D67" s="2" t="str">
        <f t="shared" si="1"/>
        <v>Ilang patinig ang mayroong tuldik sa salitang \"taníba\"?</v>
      </c>
      <c r="E67" s="2">
        <f t="shared" si="2"/>
        <v>1</v>
      </c>
      <c r="F67" s="2" t="s">
        <v>676</v>
      </c>
      <c r="G67" s="14" t="s">
        <v>677</v>
      </c>
      <c r="H67" s="2" t="s">
        <v>678</v>
      </c>
      <c r="I67" s="15">
        <v>1</v>
      </c>
    </row>
    <row r="68" spans="1:9" ht="13" x14ac:dyDescent="0.15">
      <c r="A68" s="2" t="s">
        <v>512</v>
      </c>
      <c r="B68" s="2" t="s">
        <v>513</v>
      </c>
      <c r="C68" s="2" t="str">
        <f t="shared" si="0"/>
        <v>How many diacritized vowels are in the word \"sangabanáta\"?</v>
      </c>
      <c r="D68" s="2" t="str">
        <f t="shared" si="1"/>
        <v>Ilang patinig ang mayroong tuldik sa salitang \"sangabanáta\"?</v>
      </c>
      <c r="E68" s="2">
        <f t="shared" si="2"/>
        <v>1</v>
      </c>
      <c r="F68" s="2" t="s">
        <v>679</v>
      </c>
      <c r="G68" s="14" t="s">
        <v>680</v>
      </c>
      <c r="H68" s="2" t="s">
        <v>681</v>
      </c>
      <c r="I68" s="15">
        <v>1</v>
      </c>
    </row>
    <row r="69" spans="1:9" ht="13" x14ac:dyDescent="0.15">
      <c r="A69" s="2" t="s">
        <v>512</v>
      </c>
      <c r="B69" s="2" t="s">
        <v>513</v>
      </c>
      <c r="C69" s="2" t="str">
        <f t="shared" si="0"/>
        <v>How many diacritized vowels are in the word \"Grínggo\"?</v>
      </c>
      <c r="D69" s="2" t="str">
        <f t="shared" si="1"/>
        <v>Ilang patinig ang mayroong tuldik sa salitang \"Grínggo\"?</v>
      </c>
      <c r="E69" s="2">
        <f t="shared" si="2"/>
        <v>1</v>
      </c>
      <c r="F69" s="2" t="s">
        <v>682</v>
      </c>
      <c r="G69" s="14" t="s">
        <v>683</v>
      </c>
      <c r="H69" s="2" t="s">
        <v>684</v>
      </c>
      <c r="I69" s="15">
        <v>1</v>
      </c>
    </row>
    <row r="70" spans="1:9" ht="13" x14ac:dyDescent="0.15">
      <c r="A70" s="2" t="s">
        <v>512</v>
      </c>
      <c r="B70" s="2" t="s">
        <v>513</v>
      </c>
      <c r="C70" s="2" t="str">
        <f t="shared" si="0"/>
        <v>How many diacritized vowels are in the word \"bambó\"?</v>
      </c>
      <c r="D70" s="2" t="str">
        <f t="shared" si="1"/>
        <v>Ilang patinig ang mayroong tuldik sa salitang \"bambó\"?</v>
      </c>
      <c r="E70" s="2">
        <f t="shared" si="2"/>
        <v>1</v>
      </c>
      <c r="F70" s="2" t="s">
        <v>685</v>
      </c>
      <c r="G70" s="14" t="s">
        <v>686</v>
      </c>
      <c r="H70" s="2" t="s">
        <v>687</v>
      </c>
      <c r="I70" s="15">
        <v>1</v>
      </c>
    </row>
    <row r="71" spans="1:9" ht="13" x14ac:dyDescent="0.15">
      <c r="A71" s="2" t="s">
        <v>512</v>
      </c>
      <c r="B71" s="2" t="s">
        <v>513</v>
      </c>
      <c r="C71" s="2" t="str">
        <f t="shared" si="0"/>
        <v>How many diacritized vowels are in the word \"Esperantísta\"?</v>
      </c>
      <c r="D71" s="2" t="str">
        <f t="shared" si="1"/>
        <v>Ilang patinig ang mayroong tuldik sa salitang \"Esperantísta\"?</v>
      </c>
      <c r="E71" s="2">
        <f t="shared" si="2"/>
        <v>1</v>
      </c>
      <c r="F71" s="2" t="s">
        <v>688</v>
      </c>
      <c r="G71" s="14" t="s">
        <v>689</v>
      </c>
      <c r="H71" s="2" t="s">
        <v>690</v>
      </c>
      <c r="I71" s="15">
        <v>1</v>
      </c>
    </row>
    <row r="72" spans="1:9" ht="13" x14ac:dyDescent="0.15">
      <c r="A72" s="2" t="s">
        <v>512</v>
      </c>
      <c r="B72" s="2" t="s">
        <v>513</v>
      </c>
      <c r="C72" s="2" t="str">
        <f t="shared" si="0"/>
        <v>How many diacritized vowels are in the word \"gaás\"?</v>
      </c>
      <c r="D72" s="2" t="str">
        <f t="shared" si="1"/>
        <v>Ilang patinig ang mayroong tuldik sa salitang \"gaás\"?</v>
      </c>
      <c r="E72" s="2">
        <f t="shared" si="2"/>
        <v>1</v>
      </c>
      <c r="F72" s="2" t="s">
        <v>691</v>
      </c>
      <c r="G72" s="14" t="s">
        <v>692</v>
      </c>
      <c r="H72" s="2" t="s">
        <v>693</v>
      </c>
      <c r="I72" s="15">
        <v>1</v>
      </c>
    </row>
    <row r="73" spans="1:9" ht="13" x14ac:dyDescent="0.15">
      <c r="A73" s="2" t="s">
        <v>512</v>
      </c>
      <c r="B73" s="2" t="s">
        <v>513</v>
      </c>
      <c r="C73" s="2" t="str">
        <f t="shared" si="0"/>
        <v>How many diacritized vowels are in the word \"súag\"?</v>
      </c>
      <c r="D73" s="2" t="str">
        <f t="shared" si="1"/>
        <v>Ilang patinig ang mayroong tuldik sa salitang \"súag\"?</v>
      </c>
      <c r="E73" s="2">
        <f t="shared" si="2"/>
        <v>1</v>
      </c>
      <c r="F73" s="2" t="s">
        <v>694</v>
      </c>
      <c r="G73" s="14" t="s">
        <v>695</v>
      </c>
      <c r="H73" s="2" t="s">
        <v>696</v>
      </c>
      <c r="I73" s="15">
        <v>1</v>
      </c>
    </row>
    <row r="74" spans="1:9" ht="13" x14ac:dyDescent="0.15">
      <c r="A74" s="2" t="s">
        <v>512</v>
      </c>
      <c r="B74" s="2" t="s">
        <v>513</v>
      </c>
      <c r="C74" s="2" t="str">
        <f t="shared" si="0"/>
        <v>How many diacritized vowels are in the word \"brasaléte\"?</v>
      </c>
      <c r="D74" s="2" t="str">
        <f t="shared" si="1"/>
        <v>Ilang patinig ang mayroong tuldik sa salitang \"brasaléte\"?</v>
      </c>
      <c r="E74" s="2">
        <f t="shared" si="2"/>
        <v>1</v>
      </c>
      <c r="F74" s="2" t="s">
        <v>697</v>
      </c>
      <c r="G74" s="14" t="s">
        <v>698</v>
      </c>
      <c r="H74" s="2" t="s">
        <v>699</v>
      </c>
      <c r="I74" s="15">
        <v>1</v>
      </c>
    </row>
    <row r="75" spans="1:9" ht="13" x14ac:dyDescent="0.15">
      <c r="A75" s="2" t="s">
        <v>512</v>
      </c>
      <c r="B75" s="2" t="s">
        <v>513</v>
      </c>
      <c r="C75" s="2" t="str">
        <f t="shared" si="0"/>
        <v>How many diacritized vowels are in the word \"sambotáni\"?</v>
      </c>
      <c r="D75" s="2" t="str">
        <f t="shared" si="1"/>
        <v>Ilang patinig ang mayroong tuldik sa salitang \"sambotáni\"?</v>
      </c>
      <c r="E75" s="2">
        <f t="shared" si="2"/>
        <v>1</v>
      </c>
      <c r="F75" s="2" t="s">
        <v>700</v>
      </c>
      <c r="G75" s="14" t="s">
        <v>701</v>
      </c>
      <c r="H75" s="2" t="s">
        <v>702</v>
      </c>
      <c r="I75" s="15">
        <v>1</v>
      </c>
    </row>
    <row r="76" spans="1:9" ht="13" x14ac:dyDescent="0.15">
      <c r="A76" s="2" t="s">
        <v>512</v>
      </c>
      <c r="B76" s="2" t="s">
        <v>513</v>
      </c>
      <c r="C76" s="2" t="str">
        <f t="shared" si="0"/>
        <v>How many diacritized vowels are in the word \"tótol\"?</v>
      </c>
      <c r="D76" s="2" t="str">
        <f t="shared" si="1"/>
        <v>Ilang patinig ang mayroong tuldik sa salitang \"tótol\"?</v>
      </c>
      <c r="E76" s="2">
        <f t="shared" si="2"/>
        <v>1</v>
      </c>
      <c r="F76" s="2" t="s">
        <v>703</v>
      </c>
      <c r="G76" s="14" t="s">
        <v>704</v>
      </c>
      <c r="H76" s="2" t="s">
        <v>705</v>
      </c>
      <c r="I76" s="15">
        <v>1</v>
      </c>
    </row>
    <row r="77" spans="1:9" ht="13" x14ac:dyDescent="0.15">
      <c r="A77" s="2" t="s">
        <v>512</v>
      </c>
      <c r="B77" s="2" t="s">
        <v>513</v>
      </c>
      <c r="C77" s="2" t="str">
        <f t="shared" si="0"/>
        <v>How many diacritized vowels are in the word \"tubár\"?</v>
      </c>
      <c r="D77" s="2" t="str">
        <f t="shared" si="1"/>
        <v>Ilang patinig ang mayroong tuldik sa salitang \"tubár\"?</v>
      </c>
      <c r="E77" s="2">
        <f t="shared" si="2"/>
        <v>1</v>
      </c>
      <c r="F77" s="2" t="s">
        <v>706</v>
      </c>
      <c r="G77" s="14" t="s">
        <v>707</v>
      </c>
      <c r="H77" s="2" t="s">
        <v>708</v>
      </c>
      <c r="I77" s="15">
        <v>1</v>
      </c>
    </row>
    <row r="78" spans="1:9" ht="13" x14ac:dyDescent="0.15">
      <c r="A78" s="2" t="s">
        <v>512</v>
      </c>
      <c r="B78" s="2" t="s">
        <v>513</v>
      </c>
      <c r="C78" s="2" t="str">
        <f t="shared" si="0"/>
        <v>How many diacritized vowels are in the word \"sináksak\"?</v>
      </c>
      <c r="D78" s="2" t="str">
        <f t="shared" si="1"/>
        <v>Ilang patinig ang mayroong tuldik sa salitang \"sináksak\"?</v>
      </c>
      <c r="E78" s="2">
        <f t="shared" si="2"/>
        <v>1</v>
      </c>
      <c r="F78" s="2" t="s">
        <v>709</v>
      </c>
      <c r="G78" s="14" t="s">
        <v>710</v>
      </c>
      <c r="H78" s="2" t="s">
        <v>711</v>
      </c>
      <c r="I78" s="15">
        <v>1</v>
      </c>
    </row>
    <row r="79" spans="1:9" ht="13" x14ac:dyDescent="0.15">
      <c r="A79" s="2" t="s">
        <v>512</v>
      </c>
      <c r="B79" s="2" t="s">
        <v>513</v>
      </c>
      <c r="C79" s="2" t="str">
        <f t="shared" si="0"/>
        <v>How many diacritized vowels are in the word \"Parnáso\"?</v>
      </c>
      <c r="D79" s="2" t="str">
        <f t="shared" si="1"/>
        <v>Ilang patinig ang mayroong tuldik sa salitang \"Parnáso\"?</v>
      </c>
      <c r="E79" s="2">
        <f t="shared" si="2"/>
        <v>1</v>
      </c>
      <c r="F79" s="2" t="s">
        <v>712</v>
      </c>
      <c r="G79" s="14" t="s">
        <v>713</v>
      </c>
      <c r="H79" s="2" t="s">
        <v>714</v>
      </c>
      <c r="I79" s="15">
        <v>1</v>
      </c>
    </row>
    <row r="80" spans="1:9" ht="13" x14ac:dyDescent="0.15">
      <c r="A80" s="2" t="s">
        <v>512</v>
      </c>
      <c r="B80" s="2" t="s">
        <v>513</v>
      </c>
      <c r="C80" s="2" t="str">
        <f t="shared" si="0"/>
        <v>How many diacritized vowels are in the word \"lómes\"?</v>
      </c>
      <c r="D80" s="2" t="str">
        <f t="shared" si="1"/>
        <v>Ilang patinig ang mayroong tuldik sa salitang \"lómes\"?</v>
      </c>
      <c r="E80" s="2">
        <f t="shared" si="2"/>
        <v>1</v>
      </c>
      <c r="F80" s="2" t="s">
        <v>715</v>
      </c>
      <c r="G80" s="14" t="s">
        <v>716</v>
      </c>
      <c r="H80" s="2" t="s">
        <v>717</v>
      </c>
      <c r="I80" s="15">
        <v>1</v>
      </c>
    </row>
    <row r="81" spans="1:9" ht="13" x14ac:dyDescent="0.15">
      <c r="A81" s="2" t="s">
        <v>512</v>
      </c>
      <c r="B81" s="2" t="s">
        <v>513</v>
      </c>
      <c r="C81" s="2" t="str">
        <f t="shared" si="0"/>
        <v>How many diacritized vowels are in the word \"bulaklákin\"?</v>
      </c>
      <c r="D81" s="2" t="str">
        <f t="shared" si="1"/>
        <v>Ilang patinig ang mayroong tuldik sa salitang \"bulaklákin\"?</v>
      </c>
      <c r="E81" s="2">
        <f t="shared" si="2"/>
        <v>1</v>
      </c>
      <c r="F81" s="2" t="s">
        <v>718</v>
      </c>
      <c r="G81" s="14" t="s">
        <v>719</v>
      </c>
      <c r="H81" s="2" t="s">
        <v>720</v>
      </c>
      <c r="I81" s="15">
        <v>1</v>
      </c>
    </row>
    <row r="82" spans="1:9" ht="13" x14ac:dyDescent="0.15">
      <c r="A82" s="2" t="s">
        <v>512</v>
      </c>
      <c r="B82" s="2" t="s">
        <v>513</v>
      </c>
      <c r="C82" s="2" t="str">
        <f t="shared" si="0"/>
        <v>How many diacritized vowels are in the word \"húbak\"?</v>
      </c>
      <c r="D82" s="2" t="str">
        <f t="shared" si="1"/>
        <v>Ilang patinig ang mayroong tuldik sa salitang \"húbak\"?</v>
      </c>
      <c r="E82" s="2">
        <f t="shared" si="2"/>
        <v>1</v>
      </c>
      <c r="F82" s="2" t="s">
        <v>721</v>
      </c>
      <c r="G82" s="14" t="s">
        <v>722</v>
      </c>
      <c r="H82" s="2" t="s">
        <v>723</v>
      </c>
      <c r="I82" s="15">
        <v>1</v>
      </c>
    </row>
    <row r="83" spans="1:9" ht="13" x14ac:dyDescent="0.15">
      <c r="A83" s="2" t="s">
        <v>512</v>
      </c>
      <c r="B83" s="2" t="s">
        <v>513</v>
      </c>
      <c r="C83" s="2" t="str">
        <f t="shared" si="0"/>
        <v>How many diacritized vowels are in the word \"tíbuk\"?</v>
      </c>
      <c r="D83" s="2" t="str">
        <f t="shared" si="1"/>
        <v>Ilang patinig ang mayroong tuldik sa salitang \"tíbuk\"?</v>
      </c>
      <c r="E83" s="2">
        <f t="shared" si="2"/>
        <v>1</v>
      </c>
      <c r="F83" s="2" t="s">
        <v>724</v>
      </c>
      <c r="G83" s="14" t="s">
        <v>725</v>
      </c>
      <c r="H83" s="2" t="s">
        <v>726</v>
      </c>
      <c r="I83" s="15">
        <v>1</v>
      </c>
    </row>
    <row r="84" spans="1:9" ht="13" x14ac:dyDescent="0.15">
      <c r="A84" s="2" t="s">
        <v>512</v>
      </c>
      <c r="B84" s="2" t="s">
        <v>513</v>
      </c>
      <c r="C84" s="2" t="str">
        <f t="shared" si="0"/>
        <v>How many diacritized vowels are in the word \"práyle\"?</v>
      </c>
      <c r="D84" s="2" t="str">
        <f t="shared" si="1"/>
        <v>Ilang patinig ang mayroong tuldik sa salitang \"práyle\"?</v>
      </c>
      <c r="E84" s="2">
        <f t="shared" si="2"/>
        <v>1</v>
      </c>
      <c r="F84" s="2" t="s">
        <v>727</v>
      </c>
      <c r="G84" s="14" t="s">
        <v>728</v>
      </c>
      <c r="H84" s="2" t="s">
        <v>729</v>
      </c>
      <c r="I84" s="15">
        <v>1</v>
      </c>
    </row>
    <row r="85" spans="1:9" ht="13" x14ac:dyDescent="0.15">
      <c r="A85" s="2" t="s">
        <v>512</v>
      </c>
      <c r="B85" s="2" t="s">
        <v>513</v>
      </c>
      <c r="C85" s="2" t="str">
        <f t="shared" si="0"/>
        <v>How many diacritized vowels are in the word \"Salomé\"?</v>
      </c>
      <c r="D85" s="2" t="str">
        <f t="shared" si="1"/>
        <v>Ilang patinig ang mayroong tuldik sa salitang \"Salomé\"?</v>
      </c>
      <c r="E85" s="2">
        <f t="shared" si="2"/>
        <v>1</v>
      </c>
      <c r="F85" s="2" t="s">
        <v>730</v>
      </c>
      <c r="G85" s="14" t="s">
        <v>731</v>
      </c>
      <c r="H85" s="2" t="s">
        <v>732</v>
      </c>
      <c r="I85" s="15">
        <v>1</v>
      </c>
    </row>
    <row r="86" spans="1:9" ht="13" x14ac:dyDescent="0.15">
      <c r="A86" s="2" t="s">
        <v>512</v>
      </c>
      <c r="B86" s="2" t="s">
        <v>513</v>
      </c>
      <c r="C86" s="2" t="str">
        <f t="shared" si="0"/>
        <v>How many diacritized vowels are in the word \"sambáli\"?</v>
      </c>
      <c r="D86" s="2" t="str">
        <f t="shared" si="1"/>
        <v>Ilang patinig ang mayroong tuldik sa salitang \"sambáli\"?</v>
      </c>
      <c r="E86" s="2">
        <f t="shared" si="2"/>
        <v>1</v>
      </c>
      <c r="F86" s="2" t="s">
        <v>733</v>
      </c>
      <c r="G86" s="14" t="s">
        <v>734</v>
      </c>
      <c r="H86" s="2" t="s">
        <v>735</v>
      </c>
      <c r="I86" s="15">
        <v>1</v>
      </c>
    </row>
    <row r="87" spans="1:9" ht="13" x14ac:dyDescent="0.15">
      <c r="A87" s="2" t="s">
        <v>512</v>
      </c>
      <c r="B87" s="2" t="s">
        <v>513</v>
      </c>
      <c r="C87" s="2" t="str">
        <f t="shared" si="0"/>
        <v>How many diacritized vowels are in the word \"panlílok\"?</v>
      </c>
      <c r="D87" s="2" t="str">
        <f t="shared" si="1"/>
        <v>Ilang patinig ang mayroong tuldik sa salitang \"panlílok\"?</v>
      </c>
      <c r="E87" s="2">
        <f t="shared" si="2"/>
        <v>1</v>
      </c>
      <c r="F87" s="2" t="s">
        <v>736</v>
      </c>
      <c r="G87" s="14" t="s">
        <v>737</v>
      </c>
      <c r="H87" s="2" t="s">
        <v>738</v>
      </c>
      <c r="I87" s="15">
        <v>1</v>
      </c>
    </row>
    <row r="88" spans="1:9" ht="13" x14ac:dyDescent="0.15">
      <c r="A88" s="2" t="s">
        <v>512</v>
      </c>
      <c r="B88" s="2" t="s">
        <v>513</v>
      </c>
      <c r="C88" s="2" t="str">
        <f t="shared" si="0"/>
        <v>How many diacritized vowels are in the word \"bángto\"?</v>
      </c>
      <c r="D88" s="2" t="str">
        <f t="shared" si="1"/>
        <v>Ilang patinig ang mayroong tuldik sa salitang \"bángto\"?</v>
      </c>
      <c r="E88" s="2">
        <f t="shared" si="2"/>
        <v>1</v>
      </c>
      <c r="F88" s="2" t="s">
        <v>739</v>
      </c>
      <c r="G88" s="14" t="s">
        <v>740</v>
      </c>
      <c r="H88" s="2" t="s">
        <v>741</v>
      </c>
      <c r="I88" s="15">
        <v>1</v>
      </c>
    </row>
    <row r="89" spans="1:9" ht="13" x14ac:dyDescent="0.15">
      <c r="A89" s="2" t="s">
        <v>512</v>
      </c>
      <c r="B89" s="2" t="s">
        <v>513</v>
      </c>
      <c r="C89" s="2" t="str">
        <f t="shared" si="0"/>
        <v>How many diacritized vowels are in the word \"lógar\"?</v>
      </c>
      <c r="D89" s="2" t="str">
        <f t="shared" si="1"/>
        <v>Ilang patinig ang mayroong tuldik sa salitang \"lógar\"?</v>
      </c>
      <c r="E89" s="2">
        <f t="shared" si="2"/>
        <v>1</v>
      </c>
      <c r="F89" s="2" t="s">
        <v>742</v>
      </c>
      <c r="G89" s="14" t="s">
        <v>743</v>
      </c>
      <c r="H89" s="2" t="s">
        <v>744</v>
      </c>
      <c r="I89" s="15">
        <v>1</v>
      </c>
    </row>
    <row r="90" spans="1:9" ht="13" x14ac:dyDescent="0.15">
      <c r="A90" s="2" t="s">
        <v>512</v>
      </c>
      <c r="B90" s="2" t="s">
        <v>513</v>
      </c>
      <c r="C90" s="2" t="str">
        <f t="shared" si="0"/>
        <v>How many diacritized vowels are in the word \"laklíp\"?</v>
      </c>
      <c r="D90" s="2" t="str">
        <f t="shared" si="1"/>
        <v>Ilang patinig ang mayroong tuldik sa salitang \"laklíp\"?</v>
      </c>
      <c r="E90" s="2">
        <f t="shared" si="2"/>
        <v>1</v>
      </c>
      <c r="F90" s="2" t="s">
        <v>745</v>
      </c>
      <c r="G90" s="14" t="s">
        <v>746</v>
      </c>
      <c r="H90" s="2" t="s">
        <v>747</v>
      </c>
      <c r="I90" s="15">
        <v>1</v>
      </c>
    </row>
    <row r="91" spans="1:9" ht="13" x14ac:dyDescent="0.15">
      <c r="A91" s="2" t="s">
        <v>512</v>
      </c>
      <c r="B91" s="2" t="s">
        <v>513</v>
      </c>
      <c r="C91" s="2" t="str">
        <f t="shared" si="0"/>
        <v>How many diacritized vowels are in the word \"timbabalák\"?</v>
      </c>
      <c r="D91" s="2" t="str">
        <f t="shared" si="1"/>
        <v>Ilang patinig ang mayroong tuldik sa salitang \"timbabalák\"?</v>
      </c>
      <c r="E91" s="2">
        <f t="shared" si="2"/>
        <v>1</v>
      </c>
      <c r="F91" s="2" t="s">
        <v>748</v>
      </c>
      <c r="G91" s="14" t="s">
        <v>749</v>
      </c>
      <c r="H91" s="2" t="s">
        <v>750</v>
      </c>
      <c r="I91" s="15">
        <v>1</v>
      </c>
    </row>
    <row r="92" spans="1:9" ht="13" x14ac:dyDescent="0.15">
      <c r="A92" s="2" t="s">
        <v>512</v>
      </c>
      <c r="B92" s="2" t="s">
        <v>513</v>
      </c>
      <c r="C92" s="2" t="str">
        <f t="shared" si="0"/>
        <v>How many diacritized vowels are in the word \"kumpás\"?</v>
      </c>
      <c r="D92" s="2" t="str">
        <f t="shared" si="1"/>
        <v>Ilang patinig ang mayroong tuldik sa salitang \"kumpás\"?</v>
      </c>
      <c r="E92" s="2">
        <f t="shared" si="2"/>
        <v>1</v>
      </c>
      <c r="F92" s="2" t="s">
        <v>751</v>
      </c>
      <c r="G92" s="14" t="s">
        <v>752</v>
      </c>
      <c r="H92" s="2" t="s">
        <v>753</v>
      </c>
      <c r="I92" s="15">
        <v>1</v>
      </c>
    </row>
    <row r="93" spans="1:9" ht="13" x14ac:dyDescent="0.15">
      <c r="A93" s="2" t="s">
        <v>512</v>
      </c>
      <c r="B93" s="2" t="s">
        <v>513</v>
      </c>
      <c r="C93" s="2" t="str">
        <f t="shared" si="0"/>
        <v>How many diacritized vowels are in the word \"ngingílo\"?</v>
      </c>
      <c r="D93" s="2" t="str">
        <f t="shared" si="1"/>
        <v>Ilang patinig ang mayroong tuldik sa salitang \"ngingílo\"?</v>
      </c>
      <c r="E93" s="2">
        <f t="shared" si="2"/>
        <v>1</v>
      </c>
      <c r="F93" s="2" t="s">
        <v>754</v>
      </c>
      <c r="G93" s="14" t="s">
        <v>755</v>
      </c>
      <c r="H93" s="2" t="s">
        <v>756</v>
      </c>
      <c r="I93" s="15">
        <v>1</v>
      </c>
    </row>
    <row r="94" spans="1:9" ht="13" x14ac:dyDescent="0.15">
      <c r="A94" s="2" t="s">
        <v>512</v>
      </c>
      <c r="B94" s="2" t="s">
        <v>513</v>
      </c>
      <c r="C94" s="2" t="str">
        <f t="shared" si="0"/>
        <v>How many diacritized vowels are in the word \"rólyo\"?</v>
      </c>
      <c r="D94" s="2" t="str">
        <f t="shared" si="1"/>
        <v>Ilang patinig ang mayroong tuldik sa salitang \"rólyo\"?</v>
      </c>
      <c r="E94" s="2">
        <f t="shared" si="2"/>
        <v>1</v>
      </c>
      <c r="F94" s="2" t="s">
        <v>757</v>
      </c>
      <c r="G94" s="14" t="s">
        <v>758</v>
      </c>
      <c r="H94" s="2" t="s">
        <v>759</v>
      </c>
      <c r="I94" s="15">
        <v>1</v>
      </c>
    </row>
    <row r="95" spans="1:9" ht="13" x14ac:dyDescent="0.15">
      <c r="A95" s="2" t="s">
        <v>512</v>
      </c>
      <c r="B95" s="2" t="s">
        <v>513</v>
      </c>
      <c r="C95" s="2" t="str">
        <f t="shared" si="0"/>
        <v>How many diacritized vowels are in the word \"gátong\"?</v>
      </c>
      <c r="D95" s="2" t="str">
        <f t="shared" si="1"/>
        <v>Ilang patinig ang mayroong tuldik sa salitang \"gátong\"?</v>
      </c>
      <c r="E95" s="2">
        <f t="shared" si="2"/>
        <v>1</v>
      </c>
      <c r="F95" s="2" t="s">
        <v>760</v>
      </c>
      <c r="G95" s="14" t="s">
        <v>761</v>
      </c>
      <c r="H95" s="2" t="s">
        <v>762</v>
      </c>
      <c r="I95" s="15">
        <v>1</v>
      </c>
    </row>
    <row r="96" spans="1:9" ht="13" x14ac:dyDescent="0.15">
      <c r="A96" s="2" t="s">
        <v>512</v>
      </c>
      <c r="B96" s="2" t="s">
        <v>513</v>
      </c>
      <c r="C96" s="2" t="str">
        <f t="shared" si="0"/>
        <v>How many diacritized vowels are in the word \"sambót\"?</v>
      </c>
      <c r="D96" s="2" t="str">
        <f t="shared" si="1"/>
        <v>Ilang patinig ang mayroong tuldik sa salitang \"sambót\"?</v>
      </c>
      <c r="E96" s="2">
        <f t="shared" si="2"/>
        <v>1</v>
      </c>
      <c r="F96" s="2" t="s">
        <v>763</v>
      </c>
      <c r="G96" s="14" t="s">
        <v>764</v>
      </c>
      <c r="H96" s="2" t="s">
        <v>765</v>
      </c>
      <c r="I96" s="15">
        <v>1</v>
      </c>
    </row>
    <row r="97" spans="1:9" ht="13" x14ac:dyDescent="0.15">
      <c r="A97" s="2" t="s">
        <v>512</v>
      </c>
      <c r="B97" s="2" t="s">
        <v>513</v>
      </c>
      <c r="C97" s="2" t="str">
        <f t="shared" si="0"/>
        <v>How many diacritized vowels are in the word \"masélan\"?</v>
      </c>
      <c r="D97" s="2" t="str">
        <f t="shared" si="1"/>
        <v>Ilang patinig ang mayroong tuldik sa salitang \"masélan\"?</v>
      </c>
      <c r="E97" s="2">
        <f t="shared" si="2"/>
        <v>1</v>
      </c>
      <c r="F97" s="2" t="s">
        <v>766</v>
      </c>
      <c r="G97" s="14" t="s">
        <v>767</v>
      </c>
      <c r="H97" s="2" t="s">
        <v>768</v>
      </c>
      <c r="I97" s="15">
        <v>1</v>
      </c>
    </row>
    <row r="98" spans="1:9" ht="13" x14ac:dyDescent="0.15">
      <c r="A98" s="2" t="s">
        <v>512</v>
      </c>
      <c r="B98" s="2" t="s">
        <v>513</v>
      </c>
      <c r="C98" s="2" t="str">
        <f t="shared" si="0"/>
        <v>How many diacritized vowels are in the word \"progréso\"?</v>
      </c>
      <c r="D98" s="2" t="str">
        <f t="shared" si="1"/>
        <v>Ilang patinig ang mayroong tuldik sa salitang \"progréso\"?</v>
      </c>
      <c r="E98" s="2">
        <f t="shared" si="2"/>
        <v>1</v>
      </c>
      <c r="F98" s="2" t="s">
        <v>769</v>
      </c>
      <c r="G98" s="14" t="s">
        <v>770</v>
      </c>
      <c r="H98" s="2" t="s">
        <v>771</v>
      </c>
      <c r="I98" s="15">
        <v>1</v>
      </c>
    </row>
    <row r="99" spans="1:9" ht="13" x14ac:dyDescent="0.15">
      <c r="A99" s="2" t="s">
        <v>512</v>
      </c>
      <c r="B99" s="2" t="s">
        <v>513</v>
      </c>
      <c r="C99" s="2" t="str">
        <f t="shared" si="0"/>
        <v>How many diacritized vowels are in the word \"sábot\"?</v>
      </c>
      <c r="D99" s="2" t="str">
        <f t="shared" si="1"/>
        <v>Ilang patinig ang mayroong tuldik sa salitang \"sábot\"?</v>
      </c>
      <c r="E99" s="2">
        <f t="shared" si="2"/>
        <v>1</v>
      </c>
      <c r="F99" s="2" t="s">
        <v>772</v>
      </c>
      <c r="G99" s="14" t="s">
        <v>773</v>
      </c>
      <c r="H99" s="2" t="s">
        <v>774</v>
      </c>
      <c r="I99" s="15">
        <v>1</v>
      </c>
    </row>
    <row r="100" spans="1:9" ht="13" x14ac:dyDescent="0.15">
      <c r="A100" s="2" t="s">
        <v>512</v>
      </c>
      <c r="B100" s="2" t="s">
        <v>513</v>
      </c>
      <c r="C100" s="2" t="str">
        <f t="shared" si="0"/>
        <v>How many diacritized vowels are in the word \"bonáy\"?</v>
      </c>
      <c r="D100" s="2" t="str">
        <f t="shared" si="1"/>
        <v>Ilang patinig ang mayroong tuldik sa salitang \"bonáy\"?</v>
      </c>
      <c r="E100" s="2">
        <f t="shared" si="2"/>
        <v>1</v>
      </c>
      <c r="F100" s="2" t="s">
        <v>775</v>
      </c>
      <c r="G100" s="14" t="s">
        <v>776</v>
      </c>
      <c r="H100" s="2" t="s">
        <v>777</v>
      </c>
      <c r="I100" s="15">
        <v>1</v>
      </c>
    </row>
    <row r="101" spans="1:9" ht="13" x14ac:dyDescent="0.15">
      <c r="A101" s="2" t="s">
        <v>512</v>
      </c>
      <c r="B101" s="2" t="s">
        <v>513</v>
      </c>
      <c r="C101" s="2" t="str">
        <f t="shared" si="0"/>
        <v>How many diacritized vowels are in the word \"heokímiká\"?</v>
      </c>
      <c r="D101" s="2" t="str">
        <f t="shared" si="1"/>
        <v>Ilang patinig ang mayroong tuldik sa salitang \"heokímiká\"?</v>
      </c>
      <c r="E101" s="2">
        <f t="shared" si="2"/>
        <v>2</v>
      </c>
      <c r="F101" s="2" t="s">
        <v>778</v>
      </c>
      <c r="G101" s="14" t="s">
        <v>779</v>
      </c>
      <c r="H101" s="2" t="s">
        <v>780</v>
      </c>
      <c r="I101" s="15">
        <v>2</v>
      </c>
    </row>
    <row r="102" spans="1:9" ht="13" x14ac:dyDescent="0.15">
      <c r="A102" s="2" t="s">
        <v>512</v>
      </c>
      <c r="B102" s="2" t="s">
        <v>513</v>
      </c>
      <c r="C102" s="2" t="str">
        <f t="shared" si="0"/>
        <v>How many diacritized vowels are in the word \"lagáring patíng\"?</v>
      </c>
      <c r="D102" s="2" t="str">
        <f t="shared" si="1"/>
        <v>Ilang patinig ang mayroong tuldik sa salitang \"lagáring patíng\"?</v>
      </c>
      <c r="E102" s="2">
        <f t="shared" si="2"/>
        <v>2</v>
      </c>
      <c r="F102" s="2" t="s">
        <v>781</v>
      </c>
      <c r="G102" s="14" t="s">
        <v>782</v>
      </c>
      <c r="H102" s="2" t="s">
        <v>783</v>
      </c>
      <c r="I102" s="15">
        <v>2</v>
      </c>
    </row>
    <row r="103" spans="1:9" ht="13" x14ac:dyDescent="0.15">
      <c r="A103" s="2" t="s">
        <v>512</v>
      </c>
      <c r="B103" s="2" t="s">
        <v>513</v>
      </c>
      <c r="C103" s="2" t="str">
        <f t="shared" si="0"/>
        <v>How many diacritized vowels are in the word \"préskripsiyón\"?</v>
      </c>
      <c r="D103" s="2" t="str">
        <f t="shared" si="1"/>
        <v>Ilang patinig ang mayroong tuldik sa salitang \"préskripsiyón\"?</v>
      </c>
      <c r="E103" s="2">
        <f t="shared" si="2"/>
        <v>2</v>
      </c>
      <c r="F103" s="2" t="s">
        <v>784</v>
      </c>
      <c r="G103" s="14" t="s">
        <v>785</v>
      </c>
      <c r="H103" s="2" t="s">
        <v>786</v>
      </c>
      <c r="I103" s="15">
        <v>2</v>
      </c>
    </row>
    <row r="104" spans="1:9" ht="13" x14ac:dyDescent="0.15">
      <c r="A104" s="2" t="s">
        <v>512</v>
      </c>
      <c r="B104" s="2" t="s">
        <v>513</v>
      </c>
      <c r="C104" s="2" t="str">
        <f t="shared" si="0"/>
        <v>How many diacritized vowels are in the word \"arî-arìan\"?</v>
      </c>
      <c r="D104" s="2" t="str">
        <f t="shared" si="1"/>
        <v>Ilang patinig ang mayroong tuldik sa salitang \"arî-arìan\"?</v>
      </c>
      <c r="E104" s="2">
        <f t="shared" si="2"/>
        <v>2</v>
      </c>
      <c r="F104" s="2" t="s">
        <v>787</v>
      </c>
      <c r="G104" s="14" t="s">
        <v>788</v>
      </c>
      <c r="H104" s="2" t="s">
        <v>789</v>
      </c>
      <c r="I104" s="15">
        <v>2</v>
      </c>
    </row>
    <row r="105" spans="1:9" ht="13" x14ac:dyDescent="0.15">
      <c r="A105" s="2" t="s">
        <v>512</v>
      </c>
      <c r="B105" s="2" t="s">
        <v>513</v>
      </c>
      <c r="C105" s="2" t="str">
        <f t="shared" si="0"/>
        <v>How many diacritized vowels are in the word \"prosáikó\"?</v>
      </c>
      <c r="D105" s="2" t="str">
        <f t="shared" si="1"/>
        <v>Ilang patinig ang mayroong tuldik sa salitang \"prosáikó\"?</v>
      </c>
      <c r="E105" s="2">
        <f t="shared" si="2"/>
        <v>2</v>
      </c>
      <c r="F105" s="2" t="s">
        <v>790</v>
      </c>
      <c r="G105" s="14" t="s">
        <v>791</v>
      </c>
      <c r="H105" s="2" t="s">
        <v>792</v>
      </c>
      <c r="I105" s="15">
        <v>2</v>
      </c>
    </row>
    <row r="106" spans="1:9" ht="13" x14ac:dyDescent="0.15">
      <c r="A106" s="2" t="s">
        <v>512</v>
      </c>
      <c r="B106" s="2" t="s">
        <v>513</v>
      </c>
      <c r="C106" s="2" t="str">
        <f t="shared" si="0"/>
        <v>How many diacritized vowels are in the word \"ponémang súprasegmentál\"?</v>
      </c>
      <c r="D106" s="2" t="str">
        <f t="shared" si="1"/>
        <v>Ilang patinig ang mayroong tuldik sa salitang \"ponémang súprasegmentál\"?</v>
      </c>
      <c r="E106" s="2">
        <f t="shared" si="2"/>
        <v>3</v>
      </c>
      <c r="F106" s="2" t="s">
        <v>793</v>
      </c>
      <c r="G106" s="14" t="s">
        <v>794</v>
      </c>
      <c r="H106" s="2" t="s">
        <v>795</v>
      </c>
      <c r="I106" s="15">
        <v>3</v>
      </c>
    </row>
    <row r="107" spans="1:9" ht="13" x14ac:dyDescent="0.15">
      <c r="A107" s="2" t="s">
        <v>512</v>
      </c>
      <c r="B107" s="2" t="s">
        <v>513</v>
      </c>
      <c r="C107" s="2" t="str">
        <f t="shared" si="0"/>
        <v>How many diacritized vowels are in the word \"bítin-bítin\"?</v>
      </c>
      <c r="D107" s="2" t="str">
        <f t="shared" si="1"/>
        <v>Ilang patinig ang mayroong tuldik sa salitang \"bítin-bítin\"?</v>
      </c>
      <c r="E107" s="2">
        <f t="shared" si="2"/>
        <v>2</v>
      </c>
      <c r="F107" s="2" t="s">
        <v>796</v>
      </c>
      <c r="G107" s="14" t="s">
        <v>797</v>
      </c>
      <c r="H107" s="2" t="s">
        <v>798</v>
      </c>
      <c r="I107" s="15">
        <v>2</v>
      </c>
    </row>
    <row r="108" spans="1:9" ht="13" x14ac:dyDescent="0.15">
      <c r="A108" s="2" t="s">
        <v>512</v>
      </c>
      <c r="B108" s="2" t="s">
        <v>513</v>
      </c>
      <c r="C108" s="2" t="str">
        <f t="shared" si="0"/>
        <v>How many diacritized vowels are in the word \"síning bíswal\"?</v>
      </c>
      <c r="D108" s="2" t="str">
        <f t="shared" si="1"/>
        <v>Ilang patinig ang mayroong tuldik sa salitang \"síning bíswal\"?</v>
      </c>
      <c r="E108" s="2">
        <f t="shared" si="2"/>
        <v>2</v>
      </c>
      <c r="F108" s="2" t="s">
        <v>799</v>
      </c>
      <c r="G108" s="14" t="s">
        <v>800</v>
      </c>
      <c r="H108" s="2" t="s">
        <v>801</v>
      </c>
      <c r="I108" s="15">
        <v>2</v>
      </c>
    </row>
    <row r="109" spans="1:9" ht="13" x14ac:dyDescent="0.15">
      <c r="A109" s="2" t="s">
        <v>512</v>
      </c>
      <c r="B109" s="2" t="s">
        <v>513</v>
      </c>
      <c r="C109" s="2" t="str">
        <f t="shared" si="0"/>
        <v>How many diacritized vowels are in the word \"éspumadéra\"?</v>
      </c>
      <c r="D109" s="2" t="str">
        <f t="shared" si="1"/>
        <v>Ilang patinig ang mayroong tuldik sa salitang \"éspumadéra\"?</v>
      </c>
      <c r="E109" s="2">
        <f t="shared" si="2"/>
        <v>2</v>
      </c>
      <c r="F109" s="2" t="s">
        <v>802</v>
      </c>
      <c r="G109" s="14" t="s">
        <v>803</v>
      </c>
      <c r="H109" s="2" t="s">
        <v>804</v>
      </c>
      <c r="I109" s="15">
        <v>2</v>
      </c>
    </row>
    <row r="110" spans="1:9" ht="13" x14ac:dyDescent="0.15">
      <c r="A110" s="2" t="s">
        <v>512</v>
      </c>
      <c r="B110" s="2" t="s">
        <v>513</v>
      </c>
      <c r="C110" s="2" t="str">
        <f t="shared" si="0"/>
        <v>How many diacritized vowels are in the word \"walâng-hábas\"?</v>
      </c>
      <c r="D110" s="2" t="str">
        <f t="shared" si="1"/>
        <v>Ilang patinig ang mayroong tuldik sa salitang \"walâng-hábas\"?</v>
      </c>
      <c r="E110" s="2">
        <f t="shared" si="2"/>
        <v>2</v>
      </c>
      <c r="F110" s="2" t="s">
        <v>805</v>
      </c>
      <c r="G110" s="14" t="s">
        <v>806</v>
      </c>
      <c r="H110" s="2" t="s">
        <v>807</v>
      </c>
      <c r="I110" s="15">
        <v>2</v>
      </c>
    </row>
    <row r="111" spans="1:9" ht="13" x14ac:dyDescent="0.15">
      <c r="A111" s="2" t="s">
        <v>512</v>
      </c>
      <c r="B111" s="2" t="s">
        <v>513</v>
      </c>
      <c r="C111" s="2" t="str">
        <f t="shared" si="0"/>
        <v>How many diacritized vowels are in the word \"bálabágo\"?</v>
      </c>
      <c r="D111" s="2" t="str">
        <f t="shared" si="1"/>
        <v>Ilang patinig ang mayroong tuldik sa salitang \"bálabágo\"?</v>
      </c>
      <c r="E111" s="2">
        <f t="shared" si="2"/>
        <v>2</v>
      </c>
      <c r="F111" s="2" t="s">
        <v>808</v>
      </c>
      <c r="G111" s="14" t="s">
        <v>809</v>
      </c>
      <c r="H111" s="2" t="s">
        <v>810</v>
      </c>
      <c r="I111" s="15">
        <v>2</v>
      </c>
    </row>
    <row r="112" spans="1:9" ht="13" x14ac:dyDescent="0.15">
      <c r="A112" s="2" t="s">
        <v>512</v>
      </c>
      <c r="B112" s="2" t="s">
        <v>513</v>
      </c>
      <c r="C112" s="2" t="str">
        <f t="shared" si="0"/>
        <v>How many diacritized vowels are in the word \"ságulî\"?</v>
      </c>
      <c r="D112" s="2" t="str">
        <f t="shared" si="1"/>
        <v>Ilang patinig ang mayroong tuldik sa salitang \"ságulî\"?</v>
      </c>
      <c r="E112" s="2">
        <f t="shared" si="2"/>
        <v>2</v>
      </c>
      <c r="F112" s="2" t="s">
        <v>811</v>
      </c>
      <c r="G112" s="14" t="s">
        <v>812</v>
      </c>
      <c r="H112" s="2" t="s">
        <v>813</v>
      </c>
      <c r="I112" s="15">
        <v>2</v>
      </c>
    </row>
    <row r="113" spans="1:9" ht="13" x14ac:dyDescent="0.15">
      <c r="A113" s="2" t="s">
        <v>512</v>
      </c>
      <c r="B113" s="2" t="s">
        <v>513</v>
      </c>
      <c r="C113" s="2" t="str">
        <f t="shared" si="0"/>
        <v>How many diacritized vowels are in the word \"segrégasyón\"?</v>
      </c>
      <c r="D113" s="2" t="str">
        <f t="shared" si="1"/>
        <v>Ilang patinig ang mayroong tuldik sa salitang \"segrégasyón\"?</v>
      </c>
      <c r="E113" s="2">
        <f t="shared" si="2"/>
        <v>2</v>
      </c>
      <c r="F113" s="2" t="s">
        <v>814</v>
      </c>
      <c r="G113" s="14" t="s">
        <v>815</v>
      </c>
      <c r="H113" s="2" t="s">
        <v>816</v>
      </c>
      <c r="I113" s="15">
        <v>2</v>
      </c>
    </row>
    <row r="114" spans="1:9" ht="13" x14ac:dyDescent="0.15">
      <c r="A114" s="2" t="s">
        <v>512</v>
      </c>
      <c r="B114" s="2" t="s">
        <v>513</v>
      </c>
      <c r="C114" s="2" t="str">
        <f t="shared" si="0"/>
        <v>How many diacritized vowels are in the word \"pángkinabukásan\"?</v>
      </c>
      <c r="D114" s="2" t="str">
        <f t="shared" si="1"/>
        <v>Ilang patinig ang mayroong tuldik sa salitang \"pángkinabukásan\"?</v>
      </c>
      <c r="E114" s="2">
        <f t="shared" si="2"/>
        <v>2</v>
      </c>
      <c r="F114" s="2" t="s">
        <v>817</v>
      </c>
      <c r="G114" s="14" t="s">
        <v>818</v>
      </c>
      <c r="H114" s="2" t="s">
        <v>819</v>
      </c>
      <c r="I114" s="15">
        <v>2</v>
      </c>
    </row>
    <row r="115" spans="1:9" ht="13" x14ac:dyDescent="0.15">
      <c r="A115" s="2" t="s">
        <v>512</v>
      </c>
      <c r="B115" s="2" t="s">
        <v>513</v>
      </c>
      <c r="C115" s="2" t="str">
        <f t="shared" si="0"/>
        <v>How many diacritized vowels are in the word \"idyosingkrátikó\"?</v>
      </c>
      <c r="D115" s="2" t="str">
        <f t="shared" si="1"/>
        <v>Ilang patinig ang mayroong tuldik sa salitang \"idyosingkrátikó\"?</v>
      </c>
      <c r="E115" s="2">
        <f t="shared" si="2"/>
        <v>2</v>
      </c>
      <c r="F115" s="2" t="s">
        <v>820</v>
      </c>
      <c r="G115" s="14" t="s">
        <v>821</v>
      </c>
      <c r="H115" s="2" t="s">
        <v>822</v>
      </c>
      <c r="I115" s="15">
        <v>2</v>
      </c>
    </row>
    <row r="116" spans="1:9" ht="13" x14ac:dyDescent="0.15">
      <c r="A116" s="2" t="s">
        <v>512</v>
      </c>
      <c r="B116" s="2" t="s">
        <v>513</v>
      </c>
      <c r="C116" s="2" t="str">
        <f t="shared" si="0"/>
        <v>How many diacritized vowels are in the word \"Amánsináya\"?</v>
      </c>
      <c r="D116" s="2" t="str">
        <f t="shared" si="1"/>
        <v>Ilang patinig ang mayroong tuldik sa salitang \"Amánsináya\"?</v>
      </c>
      <c r="E116" s="2">
        <f t="shared" si="2"/>
        <v>2</v>
      </c>
      <c r="F116" s="2" t="s">
        <v>823</v>
      </c>
      <c r="G116" s="14" t="s">
        <v>824</v>
      </c>
      <c r="H116" s="2" t="s">
        <v>825</v>
      </c>
      <c r="I116" s="15">
        <v>2</v>
      </c>
    </row>
    <row r="117" spans="1:9" ht="13" x14ac:dyDescent="0.15">
      <c r="A117" s="2" t="s">
        <v>512</v>
      </c>
      <c r="B117" s="2" t="s">
        <v>513</v>
      </c>
      <c r="C117" s="2" t="str">
        <f t="shared" si="0"/>
        <v>How many diacritized vowels are in the word \"erisípelá\"?</v>
      </c>
      <c r="D117" s="2" t="str">
        <f t="shared" si="1"/>
        <v>Ilang patinig ang mayroong tuldik sa salitang \"erisípelá\"?</v>
      </c>
      <c r="E117" s="2">
        <f t="shared" si="2"/>
        <v>2</v>
      </c>
      <c r="F117" s="2" t="s">
        <v>826</v>
      </c>
      <c r="G117" s="14" t="s">
        <v>827</v>
      </c>
      <c r="H117" s="2" t="s">
        <v>828</v>
      </c>
      <c r="I117" s="15">
        <v>2</v>
      </c>
    </row>
    <row r="118" spans="1:9" ht="13" x14ac:dyDescent="0.15">
      <c r="A118" s="2" t="s">
        <v>512</v>
      </c>
      <c r="B118" s="2" t="s">
        <v>513</v>
      </c>
      <c r="C118" s="2" t="str">
        <f t="shared" si="0"/>
        <v>How many diacritized vowels are in the word \"Kélengná\"?</v>
      </c>
      <c r="D118" s="2" t="str">
        <f t="shared" si="1"/>
        <v>Ilang patinig ang mayroong tuldik sa salitang \"Kélengná\"?</v>
      </c>
      <c r="E118" s="2">
        <f t="shared" si="2"/>
        <v>2</v>
      </c>
      <c r="F118" s="2" t="s">
        <v>829</v>
      </c>
      <c r="G118" s="14" t="s">
        <v>830</v>
      </c>
      <c r="H118" s="2" t="s">
        <v>831</v>
      </c>
      <c r="I118" s="15">
        <v>2</v>
      </c>
    </row>
    <row r="119" spans="1:9" ht="13" x14ac:dyDescent="0.15">
      <c r="A119" s="2" t="s">
        <v>512</v>
      </c>
      <c r="B119" s="2" t="s">
        <v>513</v>
      </c>
      <c r="C119" s="2" t="str">
        <f t="shared" si="0"/>
        <v>How many diacritized vowels are in the word \"kisámkisám\"?</v>
      </c>
      <c r="D119" s="2" t="str">
        <f t="shared" si="1"/>
        <v>Ilang patinig ang mayroong tuldik sa salitang \"kisámkisám\"?</v>
      </c>
      <c r="E119" s="2">
        <f t="shared" si="2"/>
        <v>2</v>
      </c>
      <c r="F119" s="2" t="s">
        <v>832</v>
      </c>
      <c r="G119" s="14" t="s">
        <v>833</v>
      </c>
      <c r="H119" s="2" t="s">
        <v>834</v>
      </c>
      <c r="I119" s="15">
        <v>2</v>
      </c>
    </row>
    <row r="120" spans="1:9" ht="13" x14ac:dyDescent="0.15">
      <c r="A120" s="2" t="s">
        <v>512</v>
      </c>
      <c r="B120" s="2" t="s">
        <v>513</v>
      </c>
      <c r="C120" s="2" t="str">
        <f t="shared" si="0"/>
        <v>How many diacritized vowels are in the word \"ómertá\"?</v>
      </c>
      <c r="D120" s="2" t="str">
        <f t="shared" si="1"/>
        <v>Ilang patinig ang mayroong tuldik sa salitang \"ómertá\"?</v>
      </c>
      <c r="E120" s="2">
        <f t="shared" si="2"/>
        <v>2</v>
      </c>
      <c r="F120" s="2" t="s">
        <v>835</v>
      </c>
      <c r="G120" s="14" t="s">
        <v>836</v>
      </c>
      <c r="H120" s="2" t="s">
        <v>837</v>
      </c>
      <c r="I120" s="15">
        <v>2</v>
      </c>
    </row>
    <row r="121" spans="1:9" ht="13" x14ac:dyDescent="0.15">
      <c r="A121" s="2" t="s">
        <v>512</v>
      </c>
      <c r="B121" s="2" t="s">
        <v>513</v>
      </c>
      <c r="C121" s="2" t="str">
        <f t="shared" si="0"/>
        <v>How many diacritized vowels are in the word \"kaáno-áno\"?</v>
      </c>
      <c r="D121" s="2" t="str">
        <f t="shared" si="1"/>
        <v>Ilang patinig ang mayroong tuldik sa salitang \"kaáno-áno\"?</v>
      </c>
      <c r="E121" s="2">
        <f t="shared" si="2"/>
        <v>2</v>
      </c>
      <c r="F121" s="2" t="s">
        <v>838</v>
      </c>
      <c r="G121" s="14" t="s">
        <v>839</v>
      </c>
      <c r="H121" s="2" t="s">
        <v>840</v>
      </c>
      <c r="I121" s="15">
        <v>2</v>
      </c>
    </row>
    <row r="122" spans="1:9" ht="13" x14ac:dyDescent="0.15">
      <c r="A122" s="2" t="s">
        <v>512</v>
      </c>
      <c r="B122" s="2" t="s">
        <v>513</v>
      </c>
      <c r="C122" s="2" t="str">
        <f t="shared" si="0"/>
        <v>How many diacritized vowels are in the word \"agóm-agóm\"?</v>
      </c>
      <c r="D122" s="2" t="str">
        <f t="shared" si="1"/>
        <v>Ilang patinig ang mayroong tuldik sa salitang \"agóm-agóm\"?</v>
      </c>
      <c r="E122" s="2">
        <f t="shared" si="2"/>
        <v>2</v>
      </c>
      <c r="F122" s="2" t="s">
        <v>841</v>
      </c>
      <c r="G122" s="14" t="s">
        <v>842</v>
      </c>
      <c r="H122" s="2" t="s">
        <v>843</v>
      </c>
      <c r="I122" s="15">
        <v>2</v>
      </c>
    </row>
    <row r="123" spans="1:9" ht="13" x14ac:dyDescent="0.15">
      <c r="A123" s="2" t="s">
        <v>512</v>
      </c>
      <c r="B123" s="2" t="s">
        <v>513</v>
      </c>
      <c r="C123" s="2" t="str">
        <f t="shared" si="0"/>
        <v>How many diacritized vowels are in the word \"káraóo\"?</v>
      </c>
      <c r="D123" s="2" t="str">
        <f t="shared" si="1"/>
        <v>Ilang patinig ang mayroong tuldik sa salitang \"káraóo\"?</v>
      </c>
      <c r="E123" s="2">
        <f t="shared" si="2"/>
        <v>2</v>
      </c>
      <c r="F123" s="2" t="s">
        <v>844</v>
      </c>
      <c r="G123" s="14" t="s">
        <v>845</v>
      </c>
      <c r="H123" s="2" t="s">
        <v>846</v>
      </c>
      <c r="I123" s="15">
        <v>2</v>
      </c>
    </row>
    <row r="124" spans="1:9" ht="13" x14ac:dyDescent="0.15">
      <c r="A124" s="2" t="s">
        <v>512</v>
      </c>
      <c r="B124" s="2" t="s">
        <v>513</v>
      </c>
      <c r="C124" s="2" t="str">
        <f t="shared" si="0"/>
        <v>How many diacritized vowels are in the word \"kísamé\"?</v>
      </c>
      <c r="D124" s="2" t="str">
        <f t="shared" si="1"/>
        <v>Ilang patinig ang mayroong tuldik sa salitang \"kísamé\"?</v>
      </c>
      <c r="E124" s="2">
        <f t="shared" si="2"/>
        <v>2</v>
      </c>
      <c r="F124" s="2" t="s">
        <v>847</v>
      </c>
      <c r="G124" s="14" t="s">
        <v>848</v>
      </c>
      <c r="H124" s="2" t="s">
        <v>849</v>
      </c>
      <c r="I124" s="15">
        <v>2</v>
      </c>
    </row>
    <row r="125" spans="1:9" ht="13" x14ac:dyDescent="0.15">
      <c r="A125" s="2" t="s">
        <v>512</v>
      </c>
      <c r="B125" s="2" t="s">
        <v>513</v>
      </c>
      <c r="C125" s="2" t="str">
        <f t="shared" si="0"/>
        <v>How many diacritized vowels are in the word \"mánifést\"?</v>
      </c>
      <c r="D125" s="2" t="str">
        <f t="shared" si="1"/>
        <v>Ilang patinig ang mayroong tuldik sa salitang \"mánifést\"?</v>
      </c>
      <c r="E125" s="2">
        <f t="shared" si="2"/>
        <v>2</v>
      </c>
      <c r="F125" s="2" t="s">
        <v>850</v>
      </c>
      <c r="G125" s="14" t="s">
        <v>851</v>
      </c>
      <c r="H125" s="2" t="s">
        <v>852</v>
      </c>
      <c r="I125" s="15">
        <v>2</v>
      </c>
    </row>
    <row r="126" spans="1:9" ht="13" x14ac:dyDescent="0.15">
      <c r="A126" s="2" t="s">
        <v>512</v>
      </c>
      <c r="B126" s="2" t="s">
        <v>513</v>
      </c>
      <c r="C126" s="2" t="str">
        <f t="shared" si="0"/>
        <v>How many diacritized vowels are in the word \"kára-krús\"?</v>
      </c>
      <c r="D126" s="2" t="str">
        <f t="shared" si="1"/>
        <v>Ilang patinig ang mayroong tuldik sa salitang \"kára-krús\"?</v>
      </c>
      <c r="E126" s="2">
        <f t="shared" si="2"/>
        <v>2</v>
      </c>
      <c r="F126" s="2" t="s">
        <v>853</v>
      </c>
      <c r="G126" s="14" t="s">
        <v>854</v>
      </c>
      <c r="H126" s="2" t="s">
        <v>855</v>
      </c>
      <c r="I126" s="15">
        <v>2</v>
      </c>
    </row>
    <row r="127" spans="1:9" ht="13" x14ac:dyDescent="0.15">
      <c r="A127" s="2" t="s">
        <v>512</v>
      </c>
      <c r="B127" s="2" t="s">
        <v>513</v>
      </c>
      <c r="C127" s="2" t="str">
        <f t="shared" si="0"/>
        <v>How many diacritized vowels are in the word \"kumperénsiyá\"?</v>
      </c>
      <c r="D127" s="2" t="str">
        <f t="shared" si="1"/>
        <v>Ilang patinig ang mayroong tuldik sa salitang \"kumperénsiyá\"?</v>
      </c>
      <c r="E127" s="2">
        <f t="shared" si="2"/>
        <v>2</v>
      </c>
      <c r="F127" s="2" t="s">
        <v>856</v>
      </c>
      <c r="G127" s="14" t="s">
        <v>857</v>
      </c>
      <c r="H127" s="2" t="s">
        <v>858</v>
      </c>
      <c r="I127" s="15">
        <v>2</v>
      </c>
    </row>
    <row r="128" spans="1:9" ht="13" x14ac:dyDescent="0.15">
      <c r="A128" s="2" t="s">
        <v>512</v>
      </c>
      <c r="B128" s="2" t="s">
        <v>513</v>
      </c>
      <c r="C128" s="2" t="str">
        <f t="shared" si="0"/>
        <v>How many diacritized vowels are in the word \"himbúbutók\"?</v>
      </c>
      <c r="D128" s="2" t="str">
        <f t="shared" si="1"/>
        <v>Ilang patinig ang mayroong tuldik sa salitang \"himbúbutók\"?</v>
      </c>
      <c r="E128" s="2">
        <f t="shared" si="2"/>
        <v>2</v>
      </c>
      <c r="F128" s="2" t="s">
        <v>859</v>
      </c>
      <c r="G128" s="14" t="s">
        <v>860</v>
      </c>
      <c r="H128" s="2" t="s">
        <v>861</v>
      </c>
      <c r="I128" s="15">
        <v>2</v>
      </c>
    </row>
    <row r="129" spans="1:9" ht="13" x14ac:dyDescent="0.15">
      <c r="A129" s="2" t="s">
        <v>512</v>
      </c>
      <c r="B129" s="2" t="s">
        <v>513</v>
      </c>
      <c r="C129" s="2" t="str">
        <f t="shared" si="0"/>
        <v>How many diacritized vowels are in the word \"bugnít-bugnít\"?</v>
      </c>
      <c r="D129" s="2" t="str">
        <f t="shared" si="1"/>
        <v>Ilang patinig ang mayroong tuldik sa salitang \"bugnít-bugnít\"?</v>
      </c>
      <c r="E129" s="2">
        <f t="shared" si="2"/>
        <v>2</v>
      </c>
      <c r="F129" s="2" t="s">
        <v>862</v>
      </c>
      <c r="G129" s="14" t="s">
        <v>863</v>
      </c>
      <c r="H129" s="2" t="s">
        <v>864</v>
      </c>
      <c r="I129" s="15">
        <v>2</v>
      </c>
    </row>
    <row r="130" spans="1:9" ht="13" x14ac:dyDescent="0.15">
      <c r="A130" s="2" t="s">
        <v>512</v>
      </c>
      <c r="B130" s="2" t="s">
        <v>513</v>
      </c>
      <c r="C130" s="2" t="str">
        <f t="shared" si="0"/>
        <v>How many diacritized vowels are in the word \"ilagáng búkid\"?</v>
      </c>
      <c r="D130" s="2" t="str">
        <f t="shared" si="1"/>
        <v>Ilang patinig ang mayroong tuldik sa salitang \"ilagáng búkid\"?</v>
      </c>
      <c r="E130" s="2">
        <f t="shared" si="2"/>
        <v>2</v>
      </c>
      <c r="F130" s="2" t="s">
        <v>865</v>
      </c>
      <c r="G130" s="14" t="s">
        <v>866</v>
      </c>
      <c r="H130" s="2" t="s">
        <v>867</v>
      </c>
      <c r="I130" s="15">
        <v>2</v>
      </c>
    </row>
    <row r="131" spans="1:9" ht="13" x14ac:dyDescent="0.15">
      <c r="A131" s="2" t="s">
        <v>512</v>
      </c>
      <c r="B131" s="2" t="s">
        <v>513</v>
      </c>
      <c r="C131" s="2" t="str">
        <f t="shared" si="0"/>
        <v>How many diacritized vowels are in the word \"eksprópiyá\"?</v>
      </c>
      <c r="D131" s="2" t="str">
        <f t="shared" si="1"/>
        <v>Ilang patinig ang mayroong tuldik sa salitang \"eksprópiyá\"?</v>
      </c>
      <c r="E131" s="2">
        <f t="shared" si="2"/>
        <v>2</v>
      </c>
      <c r="F131" s="2" t="s">
        <v>868</v>
      </c>
      <c r="G131" s="14" t="s">
        <v>869</v>
      </c>
      <c r="H131" s="2" t="s">
        <v>870</v>
      </c>
      <c r="I131" s="15">
        <v>2</v>
      </c>
    </row>
    <row r="132" spans="1:9" ht="13" x14ac:dyDescent="0.15">
      <c r="A132" s="2" t="s">
        <v>512</v>
      </c>
      <c r="B132" s="2" t="s">
        <v>513</v>
      </c>
      <c r="C132" s="2" t="str">
        <f t="shared" si="0"/>
        <v>How many diacritized vowels are in the word \"kambál-ang-loób\"?</v>
      </c>
      <c r="D132" s="2" t="str">
        <f t="shared" si="1"/>
        <v>Ilang patinig ang mayroong tuldik sa salitang \"kambál-ang-loób\"?</v>
      </c>
      <c r="E132" s="2">
        <f t="shared" si="2"/>
        <v>2</v>
      </c>
      <c r="F132" s="2" t="s">
        <v>871</v>
      </c>
      <c r="G132" s="14" t="s">
        <v>872</v>
      </c>
      <c r="H132" s="2" t="s">
        <v>873</v>
      </c>
      <c r="I132" s="15">
        <v>2</v>
      </c>
    </row>
    <row r="133" spans="1:9" ht="13" x14ac:dyDescent="0.15">
      <c r="A133" s="2" t="s">
        <v>512</v>
      </c>
      <c r="B133" s="2" t="s">
        <v>513</v>
      </c>
      <c r="C133" s="2" t="str">
        <f t="shared" si="0"/>
        <v>How many diacritized vowels are in the word \"párodíst\"?</v>
      </c>
      <c r="D133" s="2" t="str">
        <f t="shared" si="1"/>
        <v>Ilang patinig ang mayroong tuldik sa salitang \"párodíst\"?</v>
      </c>
      <c r="E133" s="2">
        <f t="shared" si="2"/>
        <v>2</v>
      </c>
      <c r="F133" s="2" t="s">
        <v>874</v>
      </c>
      <c r="G133" s="14" t="s">
        <v>875</v>
      </c>
      <c r="H133" s="2" t="s">
        <v>876</v>
      </c>
      <c r="I133" s="15">
        <v>2</v>
      </c>
    </row>
    <row r="134" spans="1:9" ht="13" x14ac:dyDescent="0.15">
      <c r="A134" s="2" t="s">
        <v>512</v>
      </c>
      <c r="B134" s="2" t="s">
        <v>513</v>
      </c>
      <c r="C134" s="2" t="str">
        <f t="shared" si="0"/>
        <v>How many diacritized vowels are in the word \"éstankílyos\"?</v>
      </c>
      <c r="D134" s="2" t="str">
        <f t="shared" si="1"/>
        <v>Ilang patinig ang mayroong tuldik sa salitang \"éstankílyos\"?</v>
      </c>
      <c r="E134" s="2">
        <f t="shared" si="2"/>
        <v>2</v>
      </c>
      <c r="F134" s="2" t="s">
        <v>877</v>
      </c>
      <c r="G134" s="14" t="s">
        <v>878</v>
      </c>
      <c r="H134" s="2" t="s">
        <v>879</v>
      </c>
      <c r="I134" s="15">
        <v>2</v>
      </c>
    </row>
    <row r="135" spans="1:9" ht="13" x14ac:dyDescent="0.15">
      <c r="A135" s="2" t="s">
        <v>512</v>
      </c>
      <c r="B135" s="2" t="s">
        <v>513</v>
      </c>
      <c r="C135" s="2" t="str">
        <f t="shared" si="0"/>
        <v>How many diacritized vowels are in the word \"sálo-sálo\"?</v>
      </c>
      <c r="D135" s="2" t="str">
        <f t="shared" si="1"/>
        <v>Ilang patinig ang mayroong tuldik sa salitang \"sálo-sálo\"?</v>
      </c>
      <c r="E135" s="2">
        <f t="shared" si="2"/>
        <v>2</v>
      </c>
      <c r="F135" s="2" t="s">
        <v>880</v>
      </c>
      <c r="G135" s="14" t="s">
        <v>881</v>
      </c>
      <c r="H135" s="2" t="s">
        <v>882</v>
      </c>
      <c r="I135" s="15">
        <v>2</v>
      </c>
    </row>
    <row r="136" spans="1:9" ht="13" x14ac:dyDescent="0.15">
      <c r="A136" s="2" t="s">
        <v>512</v>
      </c>
      <c r="B136" s="2" t="s">
        <v>513</v>
      </c>
      <c r="C136" s="2" t="str">
        <f t="shared" si="0"/>
        <v>How many diacritized vowels are in the word \"balángdayá\"?</v>
      </c>
      <c r="D136" s="2" t="str">
        <f t="shared" si="1"/>
        <v>Ilang patinig ang mayroong tuldik sa salitang \"balángdayá\"?</v>
      </c>
      <c r="E136" s="2">
        <f t="shared" si="2"/>
        <v>2</v>
      </c>
      <c r="F136" s="2" t="s">
        <v>883</v>
      </c>
      <c r="G136" s="14" t="s">
        <v>884</v>
      </c>
      <c r="H136" s="2" t="s">
        <v>885</v>
      </c>
      <c r="I136" s="15">
        <v>2</v>
      </c>
    </row>
    <row r="137" spans="1:9" ht="13" x14ac:dyDescent="0.15">
      <c r="A137" s="2" t="s">
        <v>512</v>
      </c>
      <c r="B137" s="2" t="s">
        <v>513</v>
      </c>
      <c r="C137" s="2" t="str">
        <f t="shared" si="0"/>
        <v>How many diacritized vowels are in the word \"pákat-áso\"?</v>
      </c>
      <c r="D137" s="2" t="str">
        <f t="shared" si="1"/>
        <v>Ilang patinig ang mayroong tuldik sa salitang \"pákat-áso\"?</v>
      </c>
      <c r="E137" s="2">
        <f t="shared" si="2"/>
        <v>2</v>
      </c>
      <c r="F137" s="2" t="s">
        <v>886</v>
      </c>
      <c r="G137" s="14" t="s">
        <v>887</v>
      </c>
      <c r="H137" s="2" t="s">
        <v>888</v>
      </c>
      <c r="I137" s="15">
        <v>2</v>
      </c>
    </row>
    <row r="138" spans="1:9" ht="13" x14ac:dyDescent="0.15">
      <c r="A138" s="2" t="s">
        <v>512</v>
      </c>
      <c r="B138" s="2" t="s">
        <v>513</v>
      </c>
      <c r="C138" s="2" t="str">
        <f t="shared" si="0"/>
        <v>How many diacritized vowels are in the word \"ádda dítoy\"?</v>
      </c>
      <c r="D138" s="2" t="str">
        <f t="shared" si="1"/>
        <v>Ilang patinig ang mayroong tuldik sa salitang \"ádda dítoy\"?</v>
      </c>
      <c r="E138" s="2">
        <f t="shared" si="2"/>
        <v>2</v>
      </c>
      <c r="F138" s="2" t="s">
        <v>889</v>
      </c>
      <c r="G138" s="14" t="s">
        <v>890</v>
      </c>
      <c r="H138" s="2" t="s">
        <v>891</v>
      </c>
      <c r="I138" s="15">
        <v>2</v>
      </c>
    </row>
    <row r="139" spans="1:9" ht="13" x14ac:dyDescent="0.15">
      <c r="A139" s="2" t="s">
        <v>512</v>
      </c>
      <c r="B139" s="2" t="s">
        <v>513</v>
      </c>
      <c r="C139" s="2" t="str">
        <f t="shared" si="0"/>
        <v>How many diacritized vowels are in the word \"súlfuró\"?</v>
      </c>
      <c r="D139" s="2" t="str">
        <f t="shared" si="1"/>
        <v>Ilang patinig ang mayroong tuldik sa salitang \"súlfuró\"?</v>
      </c>
      <c r="E139" s="2">
        <f t="shared" si="2"/>
        <v>2</v>
      </c>
      <c r="F139" s="2" t="s">
        <v>892</v>
      </c>
      <c r="G139" s="14" t="s">
        <v>893</v>
      </c>
      <c r="H139" s="2" t="s">
        <v>894</v>
      </c>
      <c r="I139" s="15">
        <v>2</v>
      </c>
    </row>
    <row r="140" spans="1:9" ht="13" x14ac:dyDescent="0.15">
      <c r="A140" s="2" t="s">
        <v>512</v>
      </c>
      <c r="B140" s="2" t="s">
        <v>513</v>
      </c>
      <c r="C140" s="2" t="str">
        <f t="shared" si="0"/>
        <v>How many diacritized vowels are in the word \"pákainín\"?</v>
      </c>
      <c r="D140" s="2" t="str">
        <f t="shared" si="1"/>
        <v>Ilang patinig ang mayroong tuldik sa salitang \"pákainín\"?</v>
      </c>
      <c r="E140" s="2">
        <f t="shared" si="2"/>
        <v>2</v>
      </c>
      <c r="F140" s="2" t="s">
        <v>895</v>
      </c>
      <c r="G140" s="14" t="s">
        <v>896</v>
      </c>
      <c r="H140" s="2" t="s">
        <v>897</v>
      </c>
      <c r="I140" s="15">
        <v>2</v>
      </c>
    </row>
    <row r="141" spans="1:9" ht="13" x14ac:dyDescent="0.15">
      <c r="A141" s="2" t="s">
        <v>512</v>
      </c>
      <c r="B141" s="2" t="s">
        <v>513</v>
      </c>
      <c r="C141" s="2" t="str">
        <f t="shared" si="0"/>
        <v>How many diacritized vowels are in the word \"bartíliyá\"?</v>
      </c>
      <c r="D141" s="2" t="str">
        <f t="shared" si="1"/>
        <v>Ilang patinig ang mayroong tuldik sa salitang \"bartíliyá\"?</v>
      </c>
      <c r="E141" s="2">
        <f t="shared" si="2"/>
        <v>2</v>
      </c>
      <c r="F141" s="2" t="s">
        <v>898</v>
      </c>
      <c r="G141" s="14" t="s">
        <v>899</v>
      </c>
      <c r="H141" s="2" t="s">
        <v>900</v>
      </c>
      <c r="I141" s="15">
        <v>2</v>
      </c>
    </row>
    <row r="142" spans="1:9" ht="13" x14ac:dyDescent="0.15">
      <c r="A142" s="2" t="s">
        <v>512</v>
      </c>
      <c r="B142" s="2" t="s">
        <v>513</v>
      </c>
      <c r="C142" s="2" t="str">
        <f t="shared" si="0"/>
        <v>How many diacritized vowels are in the word \"dagís-dagísan\"?</v>
      </c>
      <c r="D142" s="2" t="str">
        <f t="shared" si="1"/>
        <v>Ilang patinig ang mayroong tuldik sa salitang \"dagís-dagísan\"?</v>
      </c>
      <c r="E142" s="2">
        <f t="shared" si="2"/>
        <v>2</v>
      </c>
      <c r="F142" s="2" t="s">
        <v>901</v>
      </c>
      <c r="G142" s="14" t="s">
        <v>902</v>
      </c>
      <c r="H142" s="2" t="s">
        <v>903</v>
      </c>
      <c r="I142" s="15">
        <v>2</v>
      </c>
    </row>
    <row r="143" spans="1:9" ht="13" x14ac:dyDescent="0.15">
      <c r="A143" s="2" t="s">
        <v>512</v>
      </c>
      <c r="B143" s="2" t="s">
        <v>513</v>
      </c>
      <c r="C143" s="2" t="str">
        <f t="shared" si="0"/>
        <v>How many diacritized vowels are in the word \"baló-baló\"?</v>
      </c>
      <c r="D143" s="2" t="str">
        <f t="shared" si="1"/>
        <v>Ilang patinig ang mayroong tuldik sa salitang \"baló-baló\"?</v>
      </c>
      <c r="E143" s="2">
        <f t="shared" si="2"/>
        <v>2</v>
      </c>
      <c r="F143" s="2" t="s">
        <v>904</v>
      </c>
      <c r="G143" s="14" t="s">
        <v>905</v>
      </c>
      <c r="H143" s="2" t="s">
        <v>906</v>
      </c>
      <c r="I143" s="15">
        <v>2</v>
      </c>
    </row>
    <row r="144" spans="1:9" ht="13" x14ac:dyDescent="0.15">
      <c r="A144" s="2" t="s">
        <v>512</v>
      </c>
      <c r="B144" s="2" t="s">
        <v>513</v>
      </c>
      <c r="C144" s="2" t="str">
        <f t="shared" si="0"/>
        <v>How many diacritized vowels are in the word \"independénsiyá\"?</v>
      </c>
      <c r="D144" s="2" t="str">
        <f t="shared" si="1"/>
        <v>Ilang patinig ang mayroong tuldik sa salitang \"independénsiyá\"?</v>
      </c>
      <c r="E144" s="2">
        <f t="shared" si="2"/>
        <v>2</v>
      </c>
      <c r="F144" s="2" t="s">
        <v>907</v>
      </c>
      <c r="G144" s="14" t="s">
        <v>908</v>
      </c>
      <c r="H144" s="2" t="s">
        <v>909</v>
      </c>
      <c r="I144" s="15">
        <v>2</v>
      </c>
    </row>
    <row r="145" spans="1:9" ht="13" x14ac:dyDescent="0.15">
      <c r="A145" s="2" t="s">
        <v>512</v>
      </c>
      <c r="B145" s="2" t="s">
        <v>513</v>
      </c>
      <c r="C145" s="2" t="str">
        <f t="shared" si="0"/>
        <v>How many diacritized vowels are in the word \"sálay-sálay-ulingán\"?</v>
      </c>
      <c r="D145" s="2" t="str">
        <f t="shared" si="1"/>
        <v>Ilang patinig ang mayroong tuldik sa salitang \"sálay-sálay-ulingán\"?</v>
      </c>
      <c r="E145" s="2">
        <f t="shared" si="2"/>
        <v>3</v>
      </c>
      <c r="F145" s="2" t="s">
        <v>910</v>
      </c>
      <c r="G145" s="14" t="s">
        <v>911</v>
      </c>
      <c r="H145" s="2" t="s">
        <v>912</v>
      </c>
      <c r="I145" s="15">
        <v>3</v>
      </c>
    </row>
    <row r="146" spans="1:9" ht="13" x14ac:dyDescent="0.15">
      <c r="A146" s="2" t="s">
        <v>512</v>
      </c>
      <c r="B146" s="2" t="s">
        <v>513</v>
      </c>
      <c r="C146" s="2" t="str">
        <f t="shared" si="0"/>
        <v>How many diacritized vowels are in the word \"típikó\"?</v>
      </c>
      <c r="D146" s="2" t="str">
        <f t="shared" si="1"/>
        <v>Ilang patinig ang mayroong tuldik sa salitang \"típikó\"?</v>
      </c>
      <c r="E146" s="2">
        <f t="shared" si="2"/>
        <v>2</v>
      </c>
      <c r="F146" s="2" t="s">
        <v>913</v>
      </c>
      <c r="G146" s="14" t="s">
        <v>914</v>
      </c>
      <c r="H146" s="2" t="s">
        <v>915</v>
      </c>
      <c r="I146" s="15">
        <v>2</v>
      </c>
    </row>
    <row r="147" spans="1:9" ht="13" x14ac:dyDescent="0.15">
      <c r="A147" s="2" t="s">
        <v>512</v>
      </c>
      <c r="B147" s="2" t="s">
        <v>513</v>
      </c>
      <c r="C147" s="2" t="str">
        <f t="shared" si="0"/>
        <v>How many diacritized vowels are in the word \"táksimétro\"?</v>
      </c>
      <c r="D147" s="2" t="str">
        <f t="shared" si="1"/>
        <v>Ilang patinig ang mayroong tuldik sa salitang \"táksimétro\"?</v>
      </c>
      <c r="E147" s="2">
        <f t="shared" si="2"/>
        <v>2</v>
      </c>
      <c r="F147" s="2" t="s">
        <v>916</v>
      </c>
      <c r="G147" s="14" t="s">
        <v>917</v>
      </c>
      <c r="H147" s="2" t="s">
        <v>918</v>
      </c>
      <c r="I147" s="15">
        <v>2</v>
      </c>
    </row>
    <row r="148" spans="1:9" ht="13" x14ac:dyDescent="0.15">
      <c r="A148" s="2" t="s">
        <v>512</v>
      </c>
      <c r="B148" s="2" t="s">
        <v>513</v>
      </c>
      <c r="C148" s="2" t="str">
        <f t="shared" si="0"/>
        <v>How many diacritized vowels are in the word \"ábot-balíta\"?</v>
      </c>
      <c r="D148" s="2" t="str">
        <f t="shared" si="1"/>
        <v>Ilang patinig ang mayroong tuldik sa salitang \"ábot-balíta\"?</v>
      </c>
      <c r="E148" s="2">
        <f t="shared" si="2"/>
        <v>2</v>
      </c>
      <c r="F148" s="2" t="s">
        <v>919</v>
      </c>
      <c r="G148" s="14" t="s">
        <v>920</v>
      </c>
      <c r="H148" s="2" t="s">
        <v>921</v>
      </c>
      <c r="I148" s="15">
        <v>2</v>
      </c>
    </row>
    <row r="149" spans="1:9" ht="13" x14ac:dyDescent="0.15">
      <c r="A149" s="2" t="s">
        <v>512</v>
      </c>
      <c r="B149" s="2" t="s">
        <v>513</v>
      </c>
      <c r="C149" s="2" t="str">
        <f t="shared" si="0"/>
        <v>How many diacritized vowels are in the word \"pérporadór\"?</v>
      </c>
      <c r="D149" s="2" t="str">
        <f t="shared" si="1"/>
        <v>Ilang patinig ang mayroong tuldik sa salitang \"pérporadór\"?</v>
      </c>
      <c r="E149" s="2">
        <f t="shared" si="2"/>
        <v>2</v>
      </c>
      <c r="F149" s="2" t="s">
        <v>922</v>
      </c>
      <c r="G149" s="14" t="s">
        <v>923</v>
      </c>
      <c r="H149" s="2" t="s">
        <v>924</v>
      </c>
      <c r="I149" s="15">
        <v>2</v>
      </c>
    </row>
    <row r="150" spans="1:9" ht="13" x14ac:dyDescent="0.15">
      <c r="A150" s="2" t="s">
        <v>512</v>
      </c>
      <c r="B150" s="2" t="s">
        <v>513</v>
      </c>
      <c r="C150" s="2" t="str">
        <f t="shared" si="0"/>
        <v>How many diacritized vowels are in the word \"ikápakápang-\"?</v>
      </c>
      <c r="D150" s="2" t="str">
        <f t="shared" si="1"/>
        <v>Ilang patinig ang mayroong tuldik sa salitang \"ikápakápang-\"?</v>
      </c>
      <c r="E150" s="2">
        <f t="shared" si="2"/>
        <v>2</v>
      </c>
      <c r="F150" s="2" t="s">
        <v>925</v>
      </c>
      <c r="G150" s="14" t="s">
        <v>926</v>
      </c>
      <c r="H150" s="2" t="s">
        <v>927</v>
      </c>
      <c r="I150" s="15">
        <v>2</v>
      </c>
    </row>
    <row r="151" spans="1:9" ht="13" x14ac:dyDescent="0.15">
      <c r="A151" s="2" t="s">
        <v>512</v>
      </c>
      <c r="B151" s="2" t="s">
        <v>513</v>
      </c>
      <c r="C151" s="2" t="str">
        <f t="shared" si="0"/>
        <v>How many diacritized vowels are in the word \"diyátesís\"?</v>
      </c>
      <c r="D151" s="2" t="str">
        <f t="shared" si="1"/>
        <v>Ilang patinig ang mayroong tuldik sa salitang \"diyátesís\"?</v>
      </c>
      <c r="E151" s="2">
        <f t="shared" si="2"/>
        <v>2</v>
      </c>
      <c r="F151" s="2" t="s">
        <v>928</v>
      </c>
      <c r="G151" s="14" t="s">
        <v>929</v>
      </c>
      <c r="H151" s="2" t="s">
        <v>930</v>
      </c>
      <c r="I151" s="15">
        <v>2</v>
      </c>
    </row>
    <row r="152" spans="1:9" ht="13" x14ac:dyDescent="0.15">
      <c r="A152" s="2" t="s">
        <v>512</v>
      </c>
      <c r="B152" s="2" t="s">
        <v>513</v>
      </c>
      <c r="C152" s="2" t="str">
        <f t="shared" si="0"/>
        <v>How many diacritized vowels are in the word \"báligtáran\"?</v>
      </c>
      <c r="D152" s="2" t="str">
        <f t="shared" si="1"/>
        <v>Ilang patinig ang mayroong tuldik sa salitang \"báligtáran\"?</v>
      </c>
      <c r="E152" s="2">
        <f t="shared" si="2"/>
        <v>2</v>
      </c>
      <c r="F152" s="2" t="s">
        <v>931</v>
      </c>
      <c r="G152" s="14" t="s">
        <v>932</v>
      </c>
      <c r="H152" s="2" t="s">
        <v>933</v>
      </c>
      <c r="I152" s="15">
        <v>2</v>
      </c>
    </row>
    <row r="153" spans="1:9" ht="13" x14ac:dyDescent="0.15">
      <c r="A153" s="2" t="s">
        <v>512</v>
      </c>
      <c r="B153" s="2" t="s">
        <v>513</v>
      </c>
      <c r="C153" s="2" t="str">
        <f t="shared" si="0"/>
        <v>How many diacritized vowels are in the word \"mínatamís\"?</v>
      </c>
      <c r="D153" s="2" t="str">
        <f t="shared" si="1"/>
        <v>Ilang patinig ang mayroong tuldik sa salitang \"mínatamís\"?</v>
      </c>
      <c r="E153" s="2">
        <f t="shared" si="2"/>
        <v>2</v>
      </c>
      <c r="F153" s="2" t="s">
        <v>934</v>
      </c>
      <c r="G153" s="14" t="s">
        <v>935</v>
      </c>
      <c r="H153" s="2" t="s">
        <v>936</v>
      </c>
      <c r="I153" s="15">
        <v>2</v>
      </c>
    </row>
    <row r="154" spans="1:9" ht="13" x14ac:dyDescent="0.15">
      <c r="A154" s="2" t="s">
        <v>512</v>
      </c>
      <c r="B154" s="2" t="s">
        <v>513</v>
      </c>
      <c r="C154" s="2" t="str">
        <f t="shared" si="0"/>
        <v>How many diacritized vowels are in the word \"tártaró\"?</v>
      </c>
      <c r="D154" s="2" t="str">
        <f t="shared" si="1"/>
        <v>Ilang patinig ang mayroong tuldik sa salitang \"tártaró\"?</v>
      </c>
      <c r="E154" s="2">
        <f t="shared" si="2"/>
        <v>2</v>
      </c>
      <c r="F154" s="2" t="s">
        <v>937</v>
      </c>
      <c r="G154" s="14" t="s">
        <v>938</v>
      </c>
      <c r="H154" s="2" t="s">
        <v>939</v>
      </c>
      <c r="I154" s="15">
        <v>2</v>
      </c>
    </row>
    <row r="155" spans="1:9" ht="13" x14ac:dyDescent="0.15">
      <c r="A155" s="2" t="s">
        <v>512</v>
      </c>
      <c r="B155" s="2" t="s">
        <v>513</v>
      </c>
      <c r="C155" s="2" t="str">
        <f t="shared" si="0"/>
        <v>How many diacritized vowels are in the word \"krustáseó\"?</v>
      </c>
      <c r="D155" s="2" t="str">
        <f t="shared" si="1"/>
        <v>Ilang patinig ang mayroong tuldik sa salitang \"krustáseó\"?</v>
      </c>
      <c r="E155" s="2">
        <f t="shared" si="2"/>
        <v>2</v>
      </c>
      <c r="F155" s="2" t="s">
        <v>940</v>
      </c>
      <c r="G155" s="14" t="s">
        <v>941</v>
      </c>
      <c r="H155" s="2" t="s">
        <v>942</v>
      </c>
      <c r="I155" s="15">
        <v>2</v>
      </c>
    </row>
    <row r="156" spans="1:9" ht="13" x14ac:dyDescent="0.15">
      <c r="A156" s="2" t="s">
        <v>512</v>
      </c>
      <c r="B156" s="2" t="s">
        <v>513</v>
      </c>
      <c r="C156" s="2" t="str">
        <f t="shared" si="0"/>
        <v>How many diacritized vowels are in the word \"pápiró\"?</v>
      </c>
      <c r="D156" s="2" t="str">
        <f t="shared" si="1"/>
        <v>Ilang patinig ang mayroong tuldik sa salitang \"pápiró\"?</v>
      </c>
      <c r="E156" s="2">
        <f t="shared" si="2"/>
        <v>2</v>
      </c>
      <c r="F156" s="2" t="s">
        <v>943</v>
      </c>
      <c r="G156" s="14" t="s">
        <v>944</v>
      </c>
      <c r="H156" s="2" t="s">
        <v>945</v>
      </c>
      <c r="I156" s="15">
        <v>2</v>
      </c>
    </row>
    <row r="157" spans="1:9" ht="13" x14ac:dyDescent="0.15">
      <c r="A157" s="2" t="s">
        <v>512</v>
      </c>
      <c r="B157" s="2" t="s">
        <v>513</v>
      </c>
      <c r="C157" s="2" t="str">
        <f t="shared" si="0"/>
        <v>How many diacritized vowels are in the word \"pápatáy-pátay\"?</v>
      </c>
      <c r="D157" s="2" t="str">
        <f t="shared" si="1"/>
        <v>Ilang patinig ang mayroong tuldik sa salitang \"pápatáy-pátay\"?</v>
      </c>
      <c r="E157" s="2">
        <f t="shared" si="2"/>
        <v>3</v>
      </c>
      <c r="F157" s="2" t="s">
        <v>946</v>
      </c>
      <c r="G157" s="14" t="s">
        <v>947</v>
      </c>
      <c r="H157" s="2" t="s">
        <v>948</v>
      </c>
      <c r="I157" s="15">
        <v>3</v>
      </c>
    </row>
    <row r="158" spans="1:9" ht="13" x14ac:dyDescent="0.15">
      <c r="A158" s="2" t="s">
        <v>512</v>
      </c>
      <c r="B158" s="2" t="s">
        <v>513</v>
      </c>
      <c r="C158" s="2" t="str">
        <f t="shared" si="0"/>
        <v>How many diacritized vowels are in the word \"bukáng-liwaywáy\"?</v>
      </c>
      <c r="D158" s="2" t="str">
        <f t="shared" si="1"/>
        <v>Ilang patinig ang mayroong tuldik sa salitang \"bukáng-liwaywáy\"?</v>
      </c>
      <c r="E158" s="2">
        <f t="shared" si="2"/>
        <v>2</v>
      </c>
      <c r="F158" s="2" t="s">
        <v>949</v>
      </c>
      <c r="G158" s="14" t="s">
        <v>950</v>
      </c>
      <c r="H158" s="2" t="s">
        <v>951</v>
      </c>
      <c r="I158" s="15">
        <v>2</v>
      </c>
    </row>
    <row r="159" spans="1:9" ht="13" x14ac:dyDescent="0.15">
      <c r="A159" s="2" t="s">
        <v>512</v>
      </c>
      <c r="B159" s="2" t="s">
        <v>513</v>
      </c>
      <c r="C159" s="2" t="str">
        <f t="shared" si="0"/>
        <v>How many diacritized vowels are in the word \"ensíkliká\"?</v>
      </c>
      <c r="D159" s="2" t="str">
        <f t="shared" si="1"/>
        <v>Ilang patinig ang mayroong tuldik sa salitang \"ensíkliká\"?</v>
      </c>
      <c r="E159" s="2">
        <f t="shared" si="2"/>
        <v>2</v>
      </c>
      <c r="F159" s="2" t="s">
        <v>952</v>
      </c>
      <c r="G159" s="14" t="s">
        <v>953</v>
      </c>
      <c r="H159" s="2" t="s">
        <v>954</v>
      </c>
      <c r="I159" s="15">
        <v>2</v>
      </c>
    </row>
    <row r="160" spans="1:9" ht="13" x14ac:dyDescent="0.15">
      <c r="A160" s="2" t="s">
        <v>512</v>
      </c>
      <c r="B160" s="2" t="s">
        <v>513</v>
      </c>
      <c r="C160" s="2" t="str">
        <f t="shared" si="0"/>
        <v>How many diacritized vowels are in the word \"ábakó\"?</v>
      </c>
      <c r="D160" s="2" t="str">
        <f t="shared" si="1"/>
        <v>Ilang patinig ang mayroong tuldik sa salitang \"ábakó\"?</v>
      </c>
      <c r="E160" s="2">
        <f t="shared" si="2"/>
        <v>2</v>
      </c>
      <c r="F160" s="2" t="s">
        <v>955</v>
      </c>
      <c r="G160" s="14" t="s">
        <v>956</v>
      </c>
      <c r="H160" s="2" t="s">
        <v>957</v>
      </c>
      <c r="I160" s="15">
        <v>2</v>
      </c>
    </row>
    <row r="161" spans="1:9" ht="13" x14ac:dyDescent="0.15">
      <c r="A161" s="2" t="s">
        <v>512</v>
      </c>
      <c r="B161" s="2" t="s">
        <v>513</v>
      </c>
      <c r="C161" s="2" t="str">
        <f t="shared" si="0"/>
        <v>How many diacritized vowels are in the word \"ádmirál\"?</v>
      </c>
      <c r="D161" s="2" t="str">
        <f t="shared" si="1"/>
        <v>Ilang patinig ang mayroong tuldik sa salitang \"ádmirál\"?</v>
      </c>
      <c r="E161" s="2">
        <f t="shared" si="2"/>
        <v>2</v>
      </c>
      <c r="F161" s="2" t="s">
        <v>958</v>
      </c>
      <c r="G161" s="14" t="s">
        <v>959</v>
      </c>
      <c r="H161" s="2" t="s">
        <v>960</v>
      </c>
      <c r="I161" s="15">
        <v>2</v>
      </c>
    </row>
    <row r="162" spans="1:9" ht="13" x14ac:dyDescent="0.15">
      <c r="A162" s="2" t="s">
        <v>512</v>
      </c>
      <c r="B162" s="2" t="s">
        <v>513</v>
      </c>
      <c r="C162" s="2" t="str">
        <f t="shared" si="0"/>
        <v>How many diacritized vowels are in the word \"pagpapantáy-paá\"?</v>
      </c>
      <c r="D162" s="2" t="str">
        <f t="shared" si="1"/>
        <v>Ilang patinig ang mayroong tuldik sa salitang \"pagpapantáy-paá\"?</v>
      </c>
      <c r="E162" s="2">
        <f t="shared" si="2"/>
        <v>2</v>
      </c>
      <c r="F162" s="2" t="s">
        <v>961</v>
      </c>
      <c r="G162" s="14" t="s">
        <v>962</v>
      </c>
      <c r="H162" s="2" t="s">
        <v>963</v>
      </c>
      <c r="I162" s="15">
        <v>2</v>
      </c>
    </row>
    <row r="163" spans="1:9" ht="13" x14ac:dyDescent="0.15">
      <c r="A163" s="2" t="s">
        <v>512</v>
      </c>
      <c r="B163" s="2" t="s">
        <v>513</v>
      </c>
      <c r="C163" s="2" t="str">
        <f t="shared" si="0"/>
        <v>How many diacritized vowels are in the word \"bahágharì\"?</v>
      </c>
      <c r="D163" s="2" t="str">
        <f t="shared" si="1"/>
        <v>Ilang patinig ang mayroong tuldik sa salitang \"bahágharì\"?</v>
      </c>
      <c r="E163" s="2">
        <f t="shared" si="2"/>
        <v>2</v>
      </c>
      <c r="F163" s="2" t="s">
        <v>964</v>
      </c>
      <c r="G163" s="14" t="s">
        <v>965</v>
      </c>
      <c r="H163" s="2" t="s">
        <v>966</v>
      </c>
      <c r="I163" s="15">
        <v>2</v>
      </c>
    </row>
    <row r="164" spans="1:9" ht="13" x14ac:dyDescent="0.15">
      <c r="A164" s="2" t="s">
        <v>512</v>
      </c>
      <c r="B164" s="2" t="s">
        <v>513</v>
      </c>
      <c r="C164" s="2" t="str">
        <f t="shared" si="0"/>
        <v>How many diacritized vowels are in the word \"kúkuwána\"?</v>
      </c>
      <c r="D164" s="2" t="str">
        <f t="shared" si="1"/>
        <v>Ilang patinig ang mayroong tuldik sa salitang \"kúkuwána\"?</v>
      </c>
      <c r="E164" s="2">
        <f t="shared" si="2"/>
        <v>2</v>
      </c>
      <c r="F164" s="2" t="s">
        <v>967</v>
      </c>
      <c r="G164" s="14" t="s">
        <v>968</v>
      </c>
      <c r="H164" s="2" t="s">
        <v>969</v>
      </c>
      <c r="I164" s="15">
        <v>2</v>
      </c>
    </row>
    <row r="165" spans="1:9" ht="13" x14ac:dyDescent="0.15">
      <c r="A165" s="2" t="s">
        <v>512</v>
      </c>
      <c r="B165" s="2" t="s">
        <v>513</v>
      </c>
      <c r="C165" s="2" t="str">
        <f t="shared" si="0"/>
        <v>How many diacritized vowels are in the word \"mapágpahinírap\"?</v>
      </c>
      <c r="D165" s="2" t="str">
        <f t="shared" si="1"/>
        <v>Ilang patinig ang mayroong tuldik sa salitang \"mapágpahinírap\"?</v>
      </c>
      <c r="E165" s="2">
        <f t="shared" si="2"/>
        <v>2</v>
      </c>
      <c r="F165" s="2" t="s">
        <v>970</v>
      </c>
      <c r="G165" s="14" t="s">
        <v>971</v>
      </c>
      <c r="H165" s="2" t="s">
        <v>972</v>
      </c>
      <c r="I165" s="15">
        <v>2</v>
      </c>
    </row>
    <row r="166" spans="1:9" ht="13" x14ac:dyDescent="0.15">
      <c r="A166" s="2" t="s">
        <v>512</v>
      </c>
      <c r="B166" s="2" t="s">
        <v>513</v>
      </c>
      <c r="C166" s="2" t="str">
        <f t="shared" si="0"/>
        <v>How many diacritized vowels are in the word \"ánghelús\"?</v>
      </c>
      <c r="D166" s="2" t="str">
        <f t="shared" si="1"/>
        <v>Ilang patinig ang mayroong tuldik sa salitang \"ánghelús\"?</v>
      </c>
      <c r="E166" s="2">
        <f t="shared" si="2"/>
        <v>2</v>
      </c>
      <c r="F166" s="2" t="s">
        <v>973</v>
      </c>
      <c r="G166" s="14" t="s">
        <v>974</v>
      </c>
      <c r="H166" s="2" t="s">
        <v>975</v>
      </c>
      <c r="I166" s="15">
        <v>2</v>
      </c>
    </row>
    <row r="167" spans="1:9" ht="13" x14ac:dyDescent="0.15">
      <c r="A167" s="2" t="s">
        <v>512</v>
      </c>
      <c r="B167" s="2" t="s">
        <v>513</v>
      </c>
      <c r="C167" s="2" t="str">
        <f t="shared" si="0"/>
        <v>How many diacritized vowels are in the word \"entráda henerál\"?</v>
      </c>
      <c r="D167" s="2" t="str">
        <f t="shared" si="1"/>
        <v>Ilang patinig ang mayroong tuldik sa salitang \"entráda henerál\"?</v>
      </c>
      <c r="E167" s="2">
        <f t="shared" si="2"/>
        <v>2</v>
      </c>
      <c r="F167" s="2" t="s">
        <v>976</v>
      </c>
      <c r="G167" s="14" t="s">
        <v>977</v>
      </c>
      <c r="H167" s="2" t="s">
        <v>978</v>
      </c>
      <c r="I167" s="15">
        <v>2</v>
      </c>
    </row>
    <row r="168" spans="1:9" ht="13" x14ac:dyDescent="0.15">
      <c r="A168" s="2" t="s">
        <v>512</v>
      </c>
      <c r="B168" s="2" t="s">
        <v>513</v>
      </c>
      <c r="C168" s="2" t="str">
        <f t="shared" si="0"/>
        <v>How many diacritized vowels are in the word \"pawálang-bisà\"?</v>
      </c>
      <c r="D168" s="2" t="str">
        <f t="shared" si="1"/>
        <v>Ilang patinig ang mayroong tuldik sa salitang \"pawálang-bisà\"?</v>
      </c>
      <c r="E168" s="2">
        <f t="shared" si="2"/>
        <v>2</v>
      </c>
      <c r="F168" s="2" t="s">
        <v>979</v>
      </c>
      <c r="G168" s="14" t="s">
        <v>980</v>
      </c>
      <c r="H168" s="2" t="s">
        <v>981</v>
      </c>
      <c r="I168" s="15">
        <v>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69"/>
  <sheetViews>
    <sheetView workbookViewId="0">
      <selection activeCell="C30" sqref="C30"/>
    </sheetView>
  </sheetViews>
  <sheetFormatPr baseColWidth="10" defaultColWidth="12.6640625" defaultRowHeight="15.75" customHeight="1" x14ac:dyDescent="0.15"/>
  <cols>
    <col min="3" max="3" width="42.5" customWidth="1"/>
    <col min="4" max="4" width="41.5" customWidth="1"/>
    <col min="8" max="8" width="13.33203125" customWidth="1"/>
  </cols>
  <sheetData>
    <row r="1" spans="1:9" ht="15.75" customHeight="1" x14ac:dyDescent="0.15">
      <c r="A1" s="2" t="s">
        <v>502</v>
      </c>
      <c r="B1" s="2" t="s">
        <v>503</v>
      </c>
      <c r="C1" s="2" t="s">
        <v>505</v>
      </c>
      <c r="D1" s="2" t="s">
        <v>506</v>
      </c>
      <c r="E1" s="2" t="s">
        <v>507</v>
      </c>
      <c r="F1" s="2" t="s">
        <v>508</v>
      </c>
      <c r="G1" s="2" t="s">
        <v>83</v>
      </c>
      <c r="H1" s="2" t="s">
        <v>510</v>
      </c>
      <c r="I1" s="2" t="s">
        <v>982</v>
      </c>
    </row>
    <row r="2" spans="1:9" ht="15.75" customHeight="1" x14ac:dyDescent="0.15">
      <c r="A2" s="2" t="s">
        <v>512</v>
      </c>
      <c r="B2" s="14" t="s">
        <v>983</v>
      </c>
      <c r="C2" s="14" t="str">
        <f t="shared" ref="C2:C256" si="0">"How many uppercase letters are in the word " &amp; "\" &amp; """" &amp; G2 &amp; "\" &amp; """" &amp; "?"</f>
        <v>How many uppercase letters are in the word \"do-om\"?</v>
      </c>
      <c r="D2" s="14" t="str">
        <f t="shared" ref="D2:D256" si="1">"Ilang malaking titik ang mayroon sa salitang " &amp; "\" &amp; """" &amp; G2 &amp; "\" &amp; """" &amp; "?"</f>
        <v>Ilang malaking titik ang mayroon sa salitang \"do-om\"?</v>
      </c>
      <c r="E2" s="14">
        <f t="shared" ref="E2:E256" si="2">I2</f>
        <v>0</v>
      </c>
      <c r="F2" s="14" t="s">
        <v>984</v>
      </c>
      <c r="G2" s="14" t="s">
        <v>985</v>
      </c>
      <c r="H2" s="2" t="s">
        <v>985</v>
      </c>
      <c r="I2" s="15">
        <v>0</v>
      </c>
    </row>
    <row r="3" spans="1:9" ht="15.75" customHeight="1" x14ac:dyDescent="0.15">
      <c r="A3" s="2" t="s">
        <v>512</v>
      </c>
      <c r="B3" s="14" t="s">
        <v>983</v>
      </c>
      <c r="C3" s="14" t="str">
        <f t="shared" si="0"/>
        <v>How many uppercase letters are in the word \"pidot\"?</v>
      </c>
      <c r="D3" s="14" t="str">
        <f t="shared" si="1"/>
        <v>Ilang malaking titik ang mayroon sa salitang \"pidot\"?</v>
      </c>
      <c r="E3" s="14">
        <f t="shared" si="2"/>
        <v>0</v>
      </c>
      <c r="F3" s="14" t="s">
        <v>986</v>
      </c>
      <c r="G3" s="14" t="s">
        <v>987</v>
      </c>
      <c r="H3" s="2" t="s">
        <v>987</v>
      </c>
      <c r="I3" s="15">
        <v>0</v>
      </c>
    </row>
    <row r="4" spans="1:9" ht="15.75" customHeight="1" x14ac:dyDescent="0.15">
      <c r="A4" s="2" t="s">
        <v>512</v>
      </c>
      <c r="B4" s="14" t="s">
        <v>983</v>
      </c>
      <c r="C4" s="14" t="str">
        <f t="shared" si="0"/>
        <v>How many uppercase letters are in the word \"longhand\"?</v>
      </c>
      <c r="D4" s="14" t="str">
        <f t="shared" si="1"/>
        <v>Ilang malaking titik ang mayroon sa salitang \"longhand\"?</v>
      </c>
      <c r="E4" s="14">
        <f t="shared" si="2"/>
        <v>0</v>
      </c>
      <c r="F4" s="18" t="s">
        <v>988</v>
      </c>
      <c r="G4" s="14" t="s">
        <v>989</v>
      </c>
      <c r="H4" s="2" t="s">
        <v>989</v>
      </c>
      <c r="I4" s="15">
        <v>0</v>
      </c>
    </row>
    <row r="5" spans="1:9" ht="15.75" customHeight="1" x14ac:dyDescent="0.15">
      <c r="A5" s="2" t="s">
        <v>512</v>
      </c>
      <c r="B5" s="14" t="s">
        <v>983</v>
      </c>
      <c r="C5" s="14" t="str">
        <f t="shared" si="0"/>
        <v>How many uppercase letters are in the word \"multikolor\"?</v>
      </c>
      <c r="D5" s="14" t="str">
        <f t="shared" si="1"/>
        <v>Ilang malaking titik ang mayroon sa salitang \"multikolor\"?</v>
      </c>
      <c r="E5" s="14">
        <f t="shared" si="2"/>
        <v>0</v>
      </c>
      <c r="F5" s="14" t="s">
        <v>990</v>
      </c>
      <c r="G5" s="14" t="s">
        <v>991</v>
      </c>
      <c r="H5" s="2" t="s">
        <v>991</v>
      </c>
      <c r="I5" s="15">
        <v>0</v>
      </c>
    </row>
    <row r="6" spans="1:9" ht="15.75" customHeight="1" x14ac:dyDescent="0.15">
      <c r="A6" s="2" t="s">
        <v>512</v>
      </c>
      <c r="B6" s="14" t="s">
        <v>983</v>
      </c>
      <c r="C6" s="14" t="str">
        <f t="shared" si="0"/>
        <v>How many uppercase letters are in the word \"mamulubi\"?</v>
      </c>
      <c r="D6" s="14" t="str">
        <f t="shared" si="1"/>
        <v>Ilang malaking titik ang mayroon sa salitang \"mamulubi\"?</v>
      </c>
      <c r="E6" s="14">
        <f t="shared" si="2"/>
        <v>0</v>
      </c>
      <c r="F6" s="14" t="s">
        <v>992</v>
      </c>
      <c r="G6" s="14" t="s">
        <v>993</v>
      </c>
      <c r="H6" s="2" t="s">
        <v>993</v>
      </c>
      <c r="I6" s="15">
        <v>0</v>
      </c>
    </row>
    <row r="7" spans="1:9" ht="15.75" customHeight="1" x14ac:dyDescent="0.15">
      <c r="A7" s="2" t="s">
        <v>512</v>
      </c>
      <c r="B7" s="14" t="s">
        <v>983</v>
      </c>
      <c r="C7" s="14" t="str">
        <f t="shared" si="0"/>
        <v>How many uppercase letters are in the word \"inosente\"?</v>
      </c>
      <c r="D7" s="14" t="str">
        <f t="shared" si="1"/>
        <v>Ilang malaking titik ang mayroon sa salitang \"inosente\"?</v>
      </c>
      <c r="E7" s="14">
        <f t="shared" si="2"/>
        <v>0</v>
      </c>
      <c r="F7" s="14" t="s">
        <v>994</v>
      </c>
      <c r="G7" s="14" t="s">
        <v>995</v>
      </c>
      <c r="H7" s="2" t="s">
        <v>995</v>
      </c>
      <c r="I7" s="15">
        <v>0</v>
      </c>
    </row>
    <row r="8" spans="1:9" ht="15.75" customHeight="1" x14ac:dyDescent="0.15">
      <c r="A8" s="2" t="s">
        <v>512</v>
      </c>
      <c r="B8" s="14" t="s">
        <v>983</v>
      </c>
      <c r="C8" s="14" t="str">
        <f t="shared" si="0"/>
        <v>How many uppercase letters are in the word \"sensum\"?</v>
      </c>
      <c r="D8" s="14" t="str">
        <f t="shared" si="1"/>
        <v>Ilang malaking titik ang mayroon sa salitang \"sensum\"?</v>
      </c>
      <c r="E8" s="14">
        <f t="shared" si="2"/>
        <v>0</v>
      </c>
      <c r="F8" s="14" t="s">
        <v>996</v>
      </c>
      <c r="G8" s="14" t="s">
        <v>997</v>
      </c>
      <c r="H8" s="2" t="s">
        <v>997</v>
      </c>
      <c r="I8" s="15">
        <v>0</v>
      </c>
    </row>
    <row r="9" spans="1:9" ht="15.75" customHeight="1" x14ac:dyDescent="0.15">
      <c r="A9" s="2" t="s">
        <v>512</v>
      </c>
      <c r="B9" s="14" t="s">
        <v>983</v>
      </c>
      <c r="C9" s="14" t="str">
        <f t="shared" si="0"/>
        <v>How many uppercase letters are in the word \"odontolohiya\"?</v>
      </c>
      <c r="D9" s="14" t="str">
        <f t="shared" si="1"/>
        <v>Ilang malaking titik ang mayroon sa salitang \"odontolohiya\"?</v>
      </c>
      <c r="E9" s="14">
        <f t="shared" si="2"/>
        <v>0</v>
      </c>
      <c r="F9" s="14" t="s">
        <v>998</v>
      </c>
      <c r="G9" s="14" t="s">
        <v>999</v>
      </c>
      <c r="H9" s="2" t="s">
        <v>999</v>
      </c>
      <c r="I9" s="15">
        <v>0</v>
      </c>
    </row>
    <row r="10" spans="1:9" ht="15.75" customHeight="1" x14ac:dyDescent="0.15">
      <c r="A10" s="2" t="s">
        <v>512</v>
      </c>
      <c r="B10" s="14" t="s">
        <v>983</v>
      </c>
      <c r="C10" s="14" t="str">
        <f t="shared" si="0"/>
        <v>How many uppercase letters are in the word \"hoyang\"?</v>
      </c>
      <c r="D10" s="14" t="str">
        <f t="shared" si="1"/>
        <v>Ilang malaking titik ang mayroon sa salitang \"hoyang\"?</v>
      </c>
      <c r="E10" s="14">
        <f t="shared" si="2"/>
        <v>0</v>
      </c>
      <c r="F10" s="14" t="s">
        <v>1000</v>
      </c>
      <c r="G10" s="14" t="s">
        <v>1001</v>
      </c>
      <c r="H10" s="2" t="s">
        <v>1001</v>
      </c>
      <c r="I10" s="15">
        <v>0</v>
      </c>
    </row>
    <row r="11" spans="1:9" ht="15.75" customHeight="1" x14ac:dyDescent="0.15">
      <c r="A11" s="2" t="s">
        <v>512</v>
      </c>
      <c r="B11" s="14" t="s">
        <v>983</v>
      </c>
      <c r="C11" s="14" t="str">
        <f t="shared" si="0"/>
        <v>How many uppercase letters are in the word \"norm\"?</v>
      </c>
      <c r="D11" s="14" t="str">
        <f t="shared" si="1"/>
        <v>Ilang malaking titik ang mayroon sa salitang \"norm\"?</v>
      </c>
      <c r="E11" s="14">
        <f t="shared" si="2"/>
        <v>0</v>
      </c>
      <c r="F11" s="14" t="s">
        <v>1002</v>
      </c>
      <c r="G11" s="14" t="s">
        <v>1003</v>
      </c>
      <c r="H11" s="2" t="s">
        <v>1003</v>
      </c>
      <c r="I11" s="15">
        <v>0</v>
      </c>
    </row>
    <row r="12" spans="1:9" ht="15.75" customHeight="1" x14ac:dyDescent="0.15">
      <c r="A12" s="2" t="s">
        <v>512</v>
      </c>
      <c r="B12" s="14" t="s">
        <v>983</v>
      </c>
      <c r="C12" s="14" t="str">
        <f t="shared" si="0"/>
        <v>How many uppercase letters are in the word \"talisayan\"?</v>
      </c>
      <c r="D12" s="14" t="str">
        <f t="shared" si="1"/>
        <v>Ilang malaking titik ang mayroon sa salitang \"talisayan\"?</v>
      </c>
      <c r="E12" s="14">
        <f t="shared" si="2"/>
        <v>0</v>
      </c>
      <c r="F12" s="14" t="s">
        <v>1004</v>
      </c>
      <c r="G12" s="14" t="s">
        <v>1005</v>
      </c>
      <c r="H12" s="2" t="s">
        <v>1005</v>
      </c>
      <c r="I12" s="15">
        <v>0</v>
      </c>
    </row>
    <row r="13" spans="1:9" ht="15.75" customHeight="1" x14ac:dyDescent="0.15">
      <c r="A13" s="2" t="s">
        <v>512</v>
      </c>
      <c r="B13" s="14" t="s">
        <v>983</v>
      </c>
      <c r="C13" s="14" t="str">
        <f t="shared" si="0"/>
        <v>How many uppercase letters are in the word \"iwit\"?</v>
      </c>
      <c r="D13" s="14" t="str">
        <f t="shared" si="1"/>
        <v>Ilang malaking titik ang mayroon sa salitang \"iwit\"?</v>
      </c>
      <c r="E13" s="14">
        <f t="shared" si="2"/>
        <v>0</v>
      </c>
      <c r="F13" s="14" t="s">
        <v>1006</v>
      </c>
      <c r="G13" s="14" t="s">
        <v>1007</v>
      </c>
      <c r="H13" s="2" t="s">
        <v>1007</v>
      </c>
      <c r="I13" s="15">
        <v>0</v>
      </c>
    </row>
    <row r="14" spans="1:9" ht="15.75" customHeight="1" x14ac:dyDescent="0.15">
      <c r="A14" s="2" t="s">
        <v>512</v>
      </c>
      <c r="B14" s="14" t="s">
        <v>983</v>
      </c>
      <c r="C14" s="14" t="str">
        <f t="shared" si="0"/>
        <v>How many uppercase letters are in the word \"kabukiran\"?</v>
      </c>
      <c r="D14" s="14" t="str">
        <f t="shared" si="1"/>
        <v>Ilang malaking titik ang mayroon sa salitang \"kabukiran\"?</v>
      </c>
      <c r="E14" s="14">
        <f t="shared" si="2"/>
        <v>0</v>
      </c>
      <c r="F14" s="14" t="s">
        <v>1008</v>
      </c>
      <c r="G14" s="14" t="s">
        <v>1009</v>
      </c>
      <c r="H14" s="2" t="s">
        <v>1009</v>
      </c>
      <c r="I14" s="15">
        <v>0</v>
      </c>
    </row>
    <row r="15" spans="1:9" ht="15.75" customHeight="1" x14ac:dyDescent="0.15">
      <c r="A15" s="2" t="s">
        <v>512</v>
      </c>
      <c r="B15" s="14" t="s">
        <v>983</v>
      </c>
      <c r="C15" s="14" t="str">
        <f t="shared" si="0"/>
        <v>How many uppercase letters are in the word \"en clair\"?</v>
      </c>
      <c r="D15" s="14" t="str">
        <f t="shared" si="1"/>
        <v>Ilang malaking titik ang mayroon sa salitang \"en clair\"?</v>
      </c>
      <c r="E15" s="14">
        <f t="shared" si="2"/>
        <v>0</v>
      </c>
      <c r="F15" s="14" t="s">
        <v>1010</v>
      </c>
      <c r="G15" s="14" t="s">
        <v>1011</v>
      </c>
      <c r="H15" s="2" t="s">
        <v>1011</v>
      </c>
      <c r="I15" s="15">
        <v>0</v>
      </c>
    </row>
    <row r="16" spans="1:9" ht="15.75" customHeight="1" x14ac:dyDescent="0.15">
      <c r="A16" s="2" t="s">
        <v>512</v>
      </c>
      <c r="B16" s="14" t="s">
        <v>983</v>
      </c>
      <c r="C16" s="14" t="str">
        <f t="shared" si="0"/>
        <v>How many uppercase letters are in the word \"piston\"?</v>
      </c>
      <c r="D16" s="14" t="str">
        <f t="shared" si="1"/>
        <v>Ilang malaking titik ang mayroon sa salitang \"piston\"?</v>
      </c>
      <c r="E16" s="14">
        <f t="shared" si="2"/>
        <v>0</v>
      </c>
      <c r="F16" s="14" t="s">
        <v>1012</v>
      </c>
      <c r="G16" s="14" t="s">
        <v>1013</v>
      </c>
      <c r="H16" s="2" t="s">
        <v>1013</v>
      </c>
      <c r="I16" s="15">
        <v>0</v>
      </c>
    </row>
    <row r="17" spans="1:9" ht="15.75" customHeight="1" x14ac:dyDescent="0.15">
      <c r="A17" s="2" t="s">
        <v>512</v>
      </c>
      <c r="B17" s="14" t="s">
        <v>983</v>
      </c>
      <c r="C17" s="14" t="str">
        <f t="shared" si="0"/>
        <v>How many uppercase letters are in the word \"liptong\"?</v>
      </c>
      <c r="D17" s="14" t="str">
        <f t="shared" si="1"/>
        <v>Ilang malaking titik ang mayroon sa salitang \"liptong\"?</v>
      </c>
      <c r="E17" s="14">
        <f t="shared" si="2"/>
        <v>0</v>
      </c>
      <c r="F17" s="14" t="s">
        <v>1014</v>
      </c>
      <c r="G17" s="14" t="s">
        <v>1015</v>
      </c>
      <c r="H17" s="2" t="s">
        <v>1015</v>
      </c>
      <c r="I17" s="15">
        <v>0</v>
      </c>
    </row>
    <row r="18" spans="1:9" ht="15.75" customHeight="1" x14ac:dyDescent="0.15">
      <c r="A18" s="2" t="s">
        <v>512</v>
      </c>
      <c r="B18" s="14" t="s">
        <v>983</v>
      </c>
      <c r="C18" s="14" t="str">
        <f t="shared" si="0"/>
        <v>How many uppercase letters are in the word \"tenet\"?</v>
      </c>
      <c r="D18" s="14" t="str">
        <f t="shared" si="1"/>
        <v>Ilang malaking titik ang mayroon sa salitang \"tenet\"?</v>
      </c>
      <c r="E18" s="14">
        <f t="shared" si="2"/>
        <v>0</v>
      </c>
      <c r="F18" s="14" t="s">
        <v>1016</v>
      </c>
      <c r="G18" s="14" t="s">
        <v>1017</v>
      </c>
      <c r="H18" s="2" t="s">
        <v>1017</v>
      </c>
      <c r="I18" s="15">
        <v>0</v>
      </c>
    </row>
    <row r="19" spans="1:9" ht="15.75" customHeight="1" x14ac:dyDescent="0.15">
      <c r="A19" s="2" t="s">
        <v>512</v>
      </c>
      <c r="B19" s="14" t="s">
        <v>983</v>
      </c>
      <c r="C19" s="14" t="str">
        <f t="shared" si="0"/>
        <v>How many uppercase letters are in the word \"puting-tainga\"?</v>
      </c>
      <c r="D19" s="14" t="str">
        <f t="shared" si="1"/>
        <v>Ilang malaking titik ang mayroon sa salitang \"puting-tainga\"?</v>
      </c>
      <c r="E19" s="14">
        <f t="shared" si="2"/>
        <v>0</v>
      </c>
      <c r="F19" s="14" t="s">
        <v>1018</v>
      </c>
      <c r="G19" s="14" t="s">
        <v>1019</v>
      </c>
      <c r="H19" s="2" t="s">
        <v>1019</v>
      </c>
      <c r="I19" s="15">
        <v>0</v>
      </c>
    </row>
    <row r="20" spans="1:9" ht="15.75" customHeight="1" x14ac:dyDescent="0.15">
      <c r="A20" s="2" t="s">
        <v>512</v>
      </c>
      <c r="B20" s="14" t="s">
        <v>983</v>
      </c>
      <c r="C20" s="14" t="str">
        <f t="shared" si="0"/>
        <v>How many uppercase letters are in the word \"plastik\"?</v>
      </c>
      <c r="D20" s="14" t="str">
        <f t="shared" si="1"/>
        <v>Ilang malaking titik ang mayroon sa salitang \"plastik\"?</v>
      </c>
      <c r="E20" s="14">
        <f t="shared" si="2"/>
        <v>0</v>
      </c>
      <c r="F20" s="14" t="s">
        <v>1020</v>
      </c>
      <c r="G20" s="14" t="s">
        <v>1021</v>
      </c>
      <c r="H20" s="2" t="s">
        <v>1021</v>
      </c>
      <c r="I20" s="15">
        <v>0</v>
      </c>
    </row>
    <row r="21" spans="1:9" ht="15.75" customHeight="1" x14ac:dyDescent="0.15">
      <c r="A21" s="2" t="s">
        <v>512</v>
      </c>
      <c r="B21" s="14" t="s">
        <v>983</v>
      </c>
      <c r="C21" s="14" t="str">
        <f t="shared" si="0"/>
        <v>How many uppercase letters are in the word \"adaptor\"?</v>
      </c>
      <c r="D21" s="14" t="str">
        <f t="shared" si="1"/>
        <v>Ilang malaking titik ang mayroon sa salitang \"adaptor\"?</v>
      </c>
      <c r="E21" s="14">
        <f t="shared" si="2"/>
        <v>0</v>
      </c>
      <c r="F21" s="14" t="s">
        <v>1022</v>
      </c>
      <c r="G21" s="14" t="s">
        <v>1023</v>
      </c>
      <c r="H21" s="2" t="s">
        <v>1023</v>
      </c>
      <c r="I21" s="15">
        <v>0</v>
      </c>
    </row>
    <row r="22" spans="1:9" ht="15.75" customHeight="1" x14ac:dyDescent="0.15">
      <c r="A22" s="2" t="s">
        <v>512</v>
      </c>
      <c r="B22" s="14" t="s">
        <v>983</v>
      </c>
      <c r="C22" s="14" t="str">
        <f t="shared" si="0"/>
        <v>How many uppercase letters are in the word \"baludlod\"?</v>
      </c>
      <c r="D22" s="14" t="str">
        <f t="shared" si="1"/>
        <v>Ilang malaking titik ang mayroon sa salitang \"baludlod\"?</v>
      </c>
      <c r="E22" s="14">
        <f t="shared" si="2"/>
        <v>0</v>
      </c>
      <c r="F22" s="14" t="s">
        <v>1024</v>
      </c>
      <c r="G22" s="14" t="s">
        <v>1025</v>
      </c>
      <c r="H22" s="2" t="s">
        <v>1025</v>
      </c>
      <c r="I22" s="15">
        <v>0</v>
      </c>
    </row>
    <row r="23" spans="1:9" ht="15.75" customHeight="1" x14ac:dyDescent="0.15">
      <c r="A23" s="2" t="s">
        <v>512</v>
      </c>
      <c r="B23" s="14" t="s">
        <v>983</v>
      </c>
      <c r="C23" s="14" t="str">
        <f t="shared" si="0"/>
        <v>How many uppercase letters are in the word \"tunok\"?</v>
      </c>
      <c r="D23" s="14" t="str">
        <f t="shared" si="1"/>
        <v>Ilang malaking titik ang mayroon sa salitang \"tunok\"?</v>
      </c>
      <c r="E23" s="14">
        <f t="shared" si="2"/>
        <v>0</v>
      </c>
      <c r="F23" s="14" t="s">
        <v>1026</v>
      </c>
      <c r="G23" s="14" t="s">
        <v>1027</v>
      </c>
      <c r="H23" s="2" t="s">
        <v>1027</v>
      </c>
      <c r="I23" s="15">
        <v>0</v>
      </c>
    </row>
    <row r="24" spans="1:9" ht="15.75" customHeight="1" x14ac:dyDescent="0.15">
      <c r="A24" s="2" t="s">
        <v>512</v>
      </c>
      <c r="B24" s="14" t="s">
        <v>983</v>
      </c>
      <c r="C24" s="14" t="str">
        <f t="shared" si="0"/>
        <v>How many uppercase letters are in the word \"kalembang\"?</v>
      </c>
      <c r="D24" s="14" t="str">
        <f t="shared" si="1"/>
        <v>Ilang malaking titik ang mayroon sa salitang \"kalembang\"?</v>
      </c>
      <c r="E24" s="14">
        <f t="shared" si="2"/>
        <v>0</v>
      </c>
      <c r="F24" s="14" t="s">
        <v>1028</v>
      </c>
      <c r="G24" s="14" t="s">
        <v>1029</v>
      </c>
      <c r="H24" s="2" t="s">
        <v>1029</v>
      </c>
      <c r="I24" s="15">
        <v>0</v>
      </c>
    </row>
    <row r="25" spans="1:9" ht="15.75" customHeight="1" x14ac:dyDescent="0.15">
      <c r="A25" s="2" t="s">
        <v>512</v>
      </c>
      <c r="B25" s="14" t="s">
        <v>983</v>
      </c>
      <c r="C25" s="14" t="str">
        <f t="shared" si="0"/>
        <v>How many uppercase letters are in the word \"builder\"?</v>
      </c>
      <c r="D25" s="14" t="str">
        <f t="shared" si="1"/>
        <v>Ilang malaking titik ang mayroon sa salitang \"builder\"?</v>
      </c>
      <c r="E25" s="14">
        <f t="shared" si="2"/>
        <v>0</v>
      </c>
      <c r="F25" s="14" t="s">
        <v>1030</v>
      </c>
      <c r="G25" s="14" t="s">
        <v>1031</v>
      </c>
      <c r="H25" s="2" t="s">
        <v>1031</v>
      </c>
      <c r="I25" s="15">
        <v>0</v>
      </c>
    </row>
    <row r="26" spans="1:9" ht="15.75" customHeight="1" x14ac:dyDescent="0.15">
      <c r="A26" s="2" t="s">
        <v>512</v>
      </c>
      <c r="B26" s="14" t="s">
        <v>983</v>
      </c>
      <c r="C26" s="14" t="str">
        <f t="shared" si="0"/>
        <v>How many uppercase letters are in the word \"impangat\"?</v>
      </c>
      <c r="D26" s="14" t="str">
        <f t="shared" si="1"/>
        <v>Ilang malaking titik ang mayroon sa salitang \"impangat\"?</v>
      </c>
      <c r="E26" s="14">
        <f t="shared" si="2"/>
        <v>0</v>
      </c>
      <c r="F26" s="14" t="s">
        <v>1032</v>
      </c>
      <c r="G26" s="14" t="s">
        <v>1033</v>
      </c>
      <c r="H26" s="2" t="s">
        <v>1033</v>
      </c>
      <c r="I26" s="15">
        <v>0</v>
      </c>
    </row>
    <row r="27" spans="1:9" ht="15.75" customHeight="1" x14ac:dyDescent="0.15">
      <c r="A27" s="2" t="s">
        <v>512</v>
      </c>
      <c r="B27" s="14" t="s">
        <v>983</v>
      </c>
      <c r="C27" s="14" t="str">
        <f t="shared" si="0"/>
        <v>How many uppercase letters are in the word \"panayimtim\"?</v>
      </c>
      <c r="D27" s="14" t="str">
        <f t="shared" si="1"/>
        <v>Ilang malaking titik ang mayroon sa salitang \"panayimtim\"?</v>
      </c>
      <c r="E27" s="14">
        <f t="shared" si="2"/>
        <v>0</v>
      </c>
      <c r="F27" s="14" t="s">
        <v>1034</v>
      </c>
      <c r="G27" s="14" t="s">
        <v>1035</v>
      </c>
      <c r="H27" s="2" t="s">
        <v>1035</v>
      </c>
      <c r="I27" s="15">
        <v>0</v>
      </c>
    </row>
    <row r="28" spans="1:9" ht="15.75" customHeight="1" x14ac:dyDescent="0.15">
      <c r="A28" s="2" t="s">
        <v>512</v>
      </c>
      <c r="B28" s="14" t="s">
        <v>983</v>
      </c>
      <c r="C28" s="14" t="str">
        <f t="shared" si="0"/>
        <v>How many uppercase letters are in the word \"stained glass\"?</v>
      </c>
      <c r="D28" s="14" t="str">
        <f t="shared" si="1"/>
        <v>Ilang malaking titik ang mayroon sa salitang \"stained glass\"?</v>
      </c>
      <c r="E28" s="14">
        <f t="shared" si="2"/>
        <v>0</v>
      </c>
      <c r="F28" s="14" t="s">
        <v>1036</v>
      </c>
      <c r="G28" s="14" t="s">
        <v>1037</v>
      </c>
      <c r="H28" s="2" t="s">
        <v>1037</v>
      </c>
      <c r="I28" s="15">
        <v>0</v>
      </c>
    </row>
    <row r="29" spans="1:9" ht="15.75" customHeight="1" x14ac:dyDescent="0.15">
      <c r="A29" s="2" t="s">
        <v>512</v>
      </c>
      <c r="B29" s="14" t="s">
        <v>983</v>
      </c>
      <c r="C29" s="14" t="str">
        <f t="shared" si="0"/>
        <v>How many uppercase letters are in the word \"pangasiwaan\"?</v>
      </c>
      <c r="D29" s="14" t="str">
        <f t="shared" si="1"/>
        <v>Ilang malaking titik ang mayroon sa salitang \"pangasiwaan\"?</v>
      </c>
      <c r="E29" s="14">
        <f t="shared" si="2"/>
        <v>0</v>
      </c>
      <c r="F29" s="14" t="s">
        <v>1038</v>
      </c>
      <c r="G29" s="14" t="s">
        <v>1039</v>
      </c>
      <c r="H29" s="2" t="s">
        <v>1039</v>
      </c>
      <c r="I29" s="15">
        <v>0</v>
      </c>
    </row>
    <row r="30" spans="1:9" ht="15.75" customHeight="1" x14ac:dyDescent="0.15">
      <c r="A30" s="2" t="s">
        <v>512</v>
      </c>
      <c r="B30" s="14" t="s">
        <v>983</v>
      </c>
      <c r="C30" s="14" t="str">
        <f t="shared" si="0"/>
        <v>How many uppercase letters are in the word \"hamaka\"?</v>
      </c>
      <c r="D30" s="14" t="str">
        <f t="shared" si="1"/>
        <v>Ilang malaking titik ang mayroon sa salitang \"hamaka\"?</v>
      </c>
      <c r="E30" s="14">
        <f t="shared" si="2"/>
        <v>0</v>
      </c>
      <c r="F30" s="14" t="s">
        <v>1040</v>
      </c>
      <c r="G30" s="14" t="s">
        <v>1041</v>
      </c>
      <c r="H30" s="2" t="s">
        <v>1041</v>
      </c>
      <c r="I30" s="15">
        <v>0</v>
      </c>
    </row>
    <row r="31" spans="1:9" ht="15.75" customHeight="1" x14ac:dyDescent="0.15">
      <c r="A31" s="2" t="s">
        <v>512</v>
      </c>
      <c r="B31" s="14" t="s">
        <v>983</v>
      </c>
      <c r="C31" s="14" t="str">
        <f t="shared" si="0"/>
        <v>How many uppercase letters are in the word \"pagbabangon\"?</v>
      </c>
      <c r="D31" s="14" t="str">
        <f t="shared" si="1"/>
        <v>Ilang malaking titik ang mayroon sa salitang \"pagbabangon\"?</v>
      </c>
      <c r="E31" s="14">
        <f t="shared" si="2"/>
        <v>0</v>
      </c>
      <c r="F31" s="14" t="s">
        <v>1042</v>
      </c>
      <c r="G31" s="14" t="s">
        <v>1043</v>
      </c>
      <c r="H31" s="2" t="s">
        <v>1043</v>
      </c>
      <c r="I31" s="15">
        <v>0</v>
      </c>
    </row>
    <row r="32" spans="1:9" ht="15.75" customHeight="1" x14ac:dyDescent="0.15">
      <c r="A32" s="2" t="s">
        <v>512</v>
      </c>
      <c r="B32" s="14" t="s">
        <v>983</v>
      </c>
      <c r="C32" s="14" t="str">
        <f t="shared" si="0"/>
        <v>How many uppercase letters are in the word \"jester\"?</v>
      </c>
      <c r="D32" s="14" t="str">
        <f t="shared" si="1"/>
        <v>Ilang malaking titik ang mayroon sa salitang \"jester\"?</v>
      </c>
      <c r="E32" s="14">
        <f t="shared" si="2"/>
        <v>0</v>
      </c>
      <c r="F32" s="14" t="s">
        <v>1044</v>
      </c>
      <c r="G32" s="14" t="s">
        <v>1045</v>
      </c>
      <c r="H32" s="2" t="s">
        <v>1045</v>
      </c>
      <c r="I32" s="15">
        <v>0</v>
      </c>
    </row>
    <row r="33" spans="1:9" ht="15.75" customHeight="1" x14ac:dyDescent="0.15">
      <c r="A33" s="2" t="s">
        <v>512</v>
      </c>
      <c r="B33" s="14" t="s">
        <v>983</v>
      </c>
      <c r="C33" s="14" t="str">
        <f t="shared" si="0"/>
        <v>How many uppercase letters are in the word \"paleolithic\"?</v>
      </c>
      <c r="D33" s="14" t="str">
        <f t="shared" si="1"/>
        <v>Ilang malaking titik ang mayroon sa salitang \"paleolithic\"?</v>
      </c>
      <c r="E33" s="14">
        <f t="shared" si="2"/>
        <v>0</v>
      </c>
      <c r="F33" s="14" t="s">
        <v>1046</v>
      </c>
      <c r="G33" s="14" t="s">
        <v>1047</v>
      </c>
      <c r="H33" s="2" t="s">
        <v>1047</v>
      </c>
      <c r="I33" s="15">
        <v>0</v>
      </c>
    </row>
    <row r="34" spans="1:9" ht="15.75" customHeight="1" x14ac:dyDescent="0.15">
      <c r="A34" s="2" t="s">
        <v>512</v>
      </c>
      <c r="B34" s="14" t="s">
        <v>983</v>
      </c>
      <c r="C34" s="14" t="str">
        <f t="shared" si="0"/>
        <v>How many uppercase letters are in the word \"contrition\"?</v>
      </c>
      <c r="D34" s="14" t="str">
        <f t="shared" si="1"/>
        <v>Ilang malaking titik ang mayroon sa salitang \"contrition\"?</v>
      </c>
      <c r="E34" s="14">
        <f t="shared" si="2"/>
        <v>0</v>
      </c>
      <c r="F34" s="14" t="s">
        <v>1048</v>
      </c>
      <c r="G34" s="14" t="s">
        <v>1049</v>
      </c>
      <c r="H34" s="2" t="s">
        <v>1049</v>
      </c>
      <c r="I34" s="15">
        <v>0</v>
      </c>
    </row>
    <row r="35" spans="1:9" ht="15.75" customHeight="1" x14ac:dyDescent="0.15">
      <c r="A35" s="2" t="s">
        <v>512</v>
      </c>
      <c r="B35" s="14" t="s">
        <v>983</v>
      </c>
      <c r="C35" s="14" t="str">
        <f t="shared" si="0"/>
        <v>How many uppercase letters are in the word \"domador\"?</v>
      </c>
      <c r="D35" s="14" t="str">
        <f t="shared" si="1"/>
        <v>Ilang malaking titik ang mayroon sa salitang \"domador\"?</v>
      </c>
      <c r="E35" s="14">
        <f t="shared" si="2"/>
        <v>0</v>
      </c>
      <c r="F35" s="14" t="s">
        <v>1050</v>
      </c>
      <c r="G35" s="14" t="s">
        <v>1051</v>
      </c>
      <c r="H35" s="2" t="s">
        <v>1051</v>
      </c>
      <c r="I35" s="15">
        <v>0</v>
      </c>
    </row>
    <row r="36" spans="1:9" ht="15.75" customHeight="1" x14ac:dyDescent="0.15">
      <c r="A36" s="2" t="s">
        <v>512</v>
      </c>
      <c r="B36" s="14" t="s">
        <v>983</v>
      </c>
      <c r="C36" s="14" t="str">
        <f t="shared" si="0"/>
        <v>How many uppercase letters are in the word \"zouk\"?</v>
      </c>
      <c r="D36" s="14" t="str">
        <f t="shared" si="1"/>
        <v>Ilang malaking titik ang mayroon sa salitang \"zouk\"?</v>
      </c>
      <c r="E36" s="14">
        <f t="shared" si="2"/>
        <v>0</v>
      </c>
      <c r="F36" s="14" t="s">
        <v>1052</v>
      </c>
      <c r="G36" s="14" t="s">
        <v>1053</v>
      </c>
      <c r="H36" s="2" t="s">
        <v>1053</v>
      </c>
      <c r="I36" s="15">
        <v>0</v>
      </c>
    </row>
    <row r="37" spans="1:9" ht="15.75" customHeight="1" x14ac:dyDescent="0.15">
      <c r="A37" s="2" t="s">
        <v>512</v>
      </c>
      <c r="B37" s="14" t="s">
        <v>983</v>
      </c>
      <c r="C37" s="14" t="str">
        <f t="shared" si="0"/>
        <v>How many uppercase letters are in the word \"bente\"?</v>
      </c>
      <c r="D37" s="14" t="str">
        <f t="shared" si="1"/>
        <v>Ilang malaking titik ang mayroon sa salitang \"bente\"?</v>
      </c>
      <c r="E37" s="14">
        <f t="shared" si="2"/>
        <v>0</v>
      </c>
      <c r="F37" s="14" t="s">
        <v>1054</v>
      </c>
      <c r="G37" s="14" t="s">
        <v>1055</v>
      </c>
      <c r="H37" s="2" t="s">
        <v>1055</v>
      </c>
      <c r="I37" s="15">
        <v>0</v>
      </c>
    </row>
    <row r="38" spans="1:9" ht="15.75" customHeight="1" x14ac:dyDescent="0.15">
      <c r="A38" s="2" t="s">
        <v>512</v>
      </c>
      <c r="B38" s="14" t="s">
        <v>983</v>
      </c>
      <c r="C38" s="14" t="str">
        <f t="shared" si="0"/>
        <v>How many uppercase letters are in the word \"naplag\"?</v>
      </c>
      <c r="D38" s="14" t="str">
        <f t="shared" si="1"/>
        <v>Ilang malaking titik ang mayroon sa salitang \"naplag\"?</v>
      </c>
      <c r="E38" s="14">
        <f t="shared" si="2"/>
        <v>0</v>
      </c>
      <c r="F38" s="14" t="s">
        <v>1056</v>
      </c>
      <c r="G38" s="14" t="s">
        <v>1057</v>
      </c>
      <c r="H38" s="2" t="s">
        <v>1057</v>
      </c>
      <c r="I38" s="15">
        <v>0</v>
      </c>
    </row>
    <row r="39" spans="1:9" ht="15.75" customHeight="1" x14ac:dyDescent="0.15">
      <c r="A39" s="2" t="s">
        <v>512</v>
      </c>
      <c r="B39" s="14" t="s">
        <v>983</v>
      </c>
      <c r="C39" s="14" t="str">
        <f t="shared" si="0"/>
        <v>How many uppercase letters are in the word \"lambo\"?</v>
      </c>
      <c r="D39" s="14" t="str">
        <f t="shared" si="1"/>
        <v>Ilang malaking titik ang mayroon sa salitang \"lambo\"?</v>
      </c>
      <c r="E39" s="14">
        <f t="shared" si="2"/>
        <v>0</v>
      </c>
      <c r="F39" s="14" t="s">
        <v>1058</v>
      </c>
      <c r="G39" s="14" t="s">
        <v>1059</v>
      </c>
      <c r="H39" s="2" t="s">
        <v>1059</v>
      </c>
      <c r="I39" s="15">
        <v>0</v>
      </c>
    </row>
    <row r="40" spans="1:9" ht="15.75" customHeight="1" x14ac:dyDescent="0.15">
      <c r="A40" s="2" t="s">
        <v>512</v>
      </c>
      <c r="B40" s="14" t="s">
        <v>983</v>
      </c>
      <c r="C40" s="14" t="str">
        <f t="shared" si="0"/>
        <v>How many uppercase letters are in the word \"pakikihamok\"?</v>
      </c>
      <c r="D40" s="14" t="str">
        <f t="shared" si="1"/>
        <v>Ilang malaking titik ang mayroon sa salitang \"pakikihamok\"?</v>
      </c>
      <c r="E40" s="14">
        <f t="shared" si="2"/>
        <v>0</v>
      </c>
      <c r="F40" s="14" t="s">
        <v>1060</v>
      </c>
      <c r="G40" s="14" t="s">
        <v>1061</v>
      </c>
      <c r="H40" s="2" t="s">
        <v>1061</v>
      </c>
      <c r="I40" s="15">
        <v>0</v>
      </c>
    </row>
    <row r="41" spans="1:9" ht="15.75" customHeight="1" x14ac:dyDescent="0.15">
      <c r="A41" s="2" t="s">
        <v>512</v>
      </c>
      <c r="B41" s="14" t="s">
        <v>983</v>
      </c>
      <c r="C41" s="14" t="str">
        <f t="shared" si="0"/>
        <v>How many uppercase letters are in the word \"hapaw\"?</v>
      </c>
      <c r="D41" s="14" t="str">
        <f t="shared" si="1"/>
        <v>Ilang malaking titik ang mayroon sa salitang \"hapaw\"?</v>
      </c>
      <c r="E41" s="14">
        <f t="shared" si="2"/>
        <v>0</v>
      </c>
      <c r="F41" s="14" t="s">
        <v>1062</v>
      </c>
      <c r="G41" s="14" t="s">
        <v>1063</v>
      </c>
      <c r="H41" s="2" t="s">
        <v>1063</v>
      </c>
      <c r="I41" s="15">
        <v>0</v>
      </c>
    </row>
    <row r="42" spans="1:9" ht="15.75" customHeight="1" x14ac:dyDescent="0.15">
      <c r="A42" s="2" t="s">
        <v>512</v>
      </c>
      <c r="B42" s="14" t="s">
        <v>983</v>
      </c>
      <c r="C42" s="14" t="str">
        <f t="shared" si="0"/>
        <v>How many uppercase letters are in the word \"suggest\"?</v>
      </c>
      <c r="D42" s="14" t="str">
        <f t="shared" si="1"/>
        <v>Ilang malaking titik ang mayroon sa salitang \"suggest\"?</v>
      </c>
      <c r="E42" s="14">
        <f t="shared" si="2"/>
        <v>0</v>
      </c>
      <c r="F42" s="14" t="s">
        <v>1064</v>
      </c>
      <c r="G42" s="14" t="s">
        <v>1065</v>
      </c>
      <c r="H42" s="2" t="s">
        <v>1065</v>
      </c>
      <c r="I42" s="15">
        <v>0</v>
      </c>
    </row>
    <row r="43" spans="1:9" ht="15.75" customHeight="1" x14ac:dyDescent="0.15">
      <c r="A43" s="2" t="s">
        <v>512</v>
      </c>
      <c r="B43" s="14" t="s">
        <v>983</v>
      </c>
      <c r="C43" s="14" t="str">
        <f t="shared" si="0"/>
        <v>How many uppercase letters are in the word \"tiger\"?</v>
      </c>
      <c r="D43" s="14" t="str">
        <f t="shared" si="1"/>
        <v>Ilang malaking titik ang mayroon sa salitang \"tiger\"?</v>
      </c>
      <c r="E43" s="14">
        <f t="shared" si="2"/>
        <v>0</v>
      </c>
      <c r="F43" s="14" t="s">
        <v>1066</v>
      </c>
      <c r="G43" s="14" t="s">
        <v>1067</v>
      </c>
      <c r="H43" s="2" t="s">
        <v>1067</v>
      </c>
      <c r="I43" s="15">
        <v>0</v>
      </c>
    </row>
    <row r="44" spans="1:9" ht="15.75" customHeight="1" x14ac:dyDescent="0.15">
      <c r="A44" s="2" t="s">
        <v>512</v>
      </c>
      <c r="B44" s="14" t="s">
        <v>983</v>
      </c>
      <c r="C44" s="14" t="str">
        <f t="shared" si="0"/>
        <v>How many uppercase letters are in the word \"panyolon\"?</v>
      </c>
      <c r="D44" s="14" t="str">
        <f t="shared" si="1"/>
        <v>Ilang malaking titik ang mayroon sa salitang \"panyolon\"?</v>
      </c>
      <c r="E44" s="14">
        <f t="shared" si="2"/>
        <v>0</v>
      </c>
      <c r="F44" s="14" t="s">
        <v>1068</v>
      </c>
      <c r="G44" s="14" t="s">
        <v>1069</v>
      </c>
      <c r="H44" s="2" t="s">
        <v>1069</v>
      </c>
      <c r="I44" s="15">
        <v>0</v>
      </c>
    </row>
    <row r="45" spans="1:9" ht="15.75" customHeight="1" x14ac:dyDescent="0.15">
      <c r="A45" s="2" t="s">
        <v>512</v>
      </c>
      <c r="B45" s="14" t="s">
        <v>983</v>
      </c>
      <c r="C45" s="14" t="str">
        <f t="shared" si="0"/>
        <v>How many uppercase letters are in the word \"naranghada\"?</v>
      </c>
      <c r="D45" s="14" t="str">
        <f t="shared" si="1"/>
        <v>Ilang malaking titik ang mayroon sa salitang \"naranghada\"?</v>
      </c>
      <c r="E45" s="14">
        <f t="shared" si="2"/>
        <v>0</v>
      </c>
      <c r="F45" s="14" t="s">
        <v>1070</v>
      </c>
      <c r="G45" s="14" t="s">
        <v>1071</v>
      </c>
      <c r="H45" s="2" t="s">
        <v>1071</v>
      </c>
      <c r="I45" s="15">
        <v>0</v>
      </c>
    </row>
    <row r="46" spans="1:9" ht="15.75" customHeight="1" x14ac:dyDescent="0.15">
      <c r="A46" s="2" t="s">
        <v>512</v>
      </c>
      <c r="B46" s="14" t="s">
        <v>983</v>
      </c>
      <c r="C46" s="14" t="str">
        <f t="shared" si="0"/>
        <v>How many uppercase letters are in the word \"wagas\"?</v>
      </c>
      <c r="D46" s="14" t="str">
        <f t="shared" si="1"/>
        <v>Ilang malaking titik ang mayroon sa salitang \"wagas\"?</v>
      </c>
      <c r="E46" s="14">
        <f t="shared" si="2"/>
        <v>0</v>
      </c>
      <c r="F46" s="14" t="s">
        <v>1072</v>
      </c>
      <c r="G46" s="14" t="s">
        <v>1073</v>
      </c>
      <c r="H46" s="2" t="s">
        <v>1073</v>
      </c>
      <c r="I46" s="15">
        <v>0</v>
      </c>
    </row>
    <row r="47" spans="1:9" ht="15.75" customHeight="1" x14ac:dyDescent="0.15">
      <c r="A47" s="2" t="s">
        <v>512</v>
      </c>
      <c r="B47" s="14" t="s">
        <v>983</v>
      </c>
      <c r="C47" s="14" t="str">
        <f t="shared" si="0"/>
        <v>How many uppercase letters are in the word \"bulaw\"?</v>
      </c>
      <c r="D47" s="14" t="str">
        <f t="shared" si="1"/>
        <v>Ilang malaking titik ang mayroon sa salitang \"bulaw\"?</v>
      </c>
      <c r="E47" s="14">
        <f t="shared" si="2"/>
        <v>0</v>
      </c>
      <c r="F47" s="14" t="s">
        <v>1074</v>
      </c>
      <c r="G47" s="14" t="s">
        <v>1075</v>
      </c>
      <c r="H47" s="2" t="s">
        <v>1075</v>
      </c>
      <c r="I47" s="15">
        <v>0</v>
      </c>
    </row>
    <row r="48" spans="1:9" ht="15.75" customHeight="1" x14ac:dyDescent="0.15">
      <c r="A48" s="2" t="s">
        <v>512</v>
      </c>
      <c r="B48" s="14" t="s">
        <v>983</v>
      </c>
      <c r="C48" s="14" t="str">
        <f t="shared" si="0"/>
        <v>How many uppercase letters are in the word \"dabok\"?</v>
      </c>
      <c r="D48" s="14" t="str">
        <f t="shared" si="1"/>
        <v>Ilang malaking titik ang mayroon sa salitang \"dabok\"?</v>
      </c>
      <c r="E48" s="14">
        <f t="shared" si="2"/>
        <v>0</v>
      </c>
      <c r="F48" s="14" t="s">
        <v>1076</v>
      </c>
      <c r="G48" s="14" t="s">
        <v>1077</v>
      </c>
      <c r="H48" s="2" t="s">
        <v>1077</v>
      </c>
      <c r="I48" s="15">
        <v>0</v>
      </c>
    </row>
    <row r="49" spans="1:9" ht="15.75" customHeight="1" x14ac:dyDescent="0.15">
      <c r="A49" s="2" t="s">
        <v>512</v>
      </c>
      <c r="B49" s="14" t="s">
        <v>983</v>
      </c>
      <c r="C49" s="14" t="str">
        <f t="shared" si="0"/>
        <v>How many uppercase letters are in the word \"karsada\"?</v>
      </c>
      <c r="D49" s="14" t="str">
        <f t="shared" si="1"/>
        <v>Ilang malaking titik ang mayroon sa salitang \"karsada\"?</v>
      </c>
      <c r="E49" s="14">
        <f t="shared" si="2"/>
        <v>0</v>
      </c>
      <c r="F49" s="14" t="s">
        <v>1078</v>
      </c>
      <c r="G49" s="14" t="s">
        <v>1079</v>
      </c>
      <c r="H49" s="2" t="s">
        <v>1079</v>
      </c>
      <c r="I49" s="15">
        <v>0</v>
      </c>
    </row>
    <row r="50" spans="1:9" ht="15.75" customHeight="1" x14ac:dyDescent="0.15">
      <c r="A50" s="2" t="s">
        <v>512</v>
      </c>
      <c r="B50" s="14" t="s">
        <v>983</v>
      </c>
      <c r="C50" s="14" t="str">
        <f t="shared" si="0"/>
        <v>How many uppercase letters are in the word \"embase\"?</v>
      </c>
      <c r="D50" s="14" t="str">
        <f t="shared" si="1"/>
        <v>Ilang malaking titik ang mayroon sa salitang \"embase\"?</v>
      </c>
      <c r="E50" s="14">
        <f t="shared" si="2"/>
        <v>0</v>
      </c>
      <c r="F50" s="14" t="s">
        <v>1080</v>
      </c>
      <c r="G50" s="14" t="s">
        <v>1081</v>
      </c>
      <c r="H50" s="2" t="s">
        <v>1081</v>
      </c>
      <c r="I50" s="15">
        <v>0</v>
      </c>
    </row>
    <row r="51" spans="1:9" ht="15.75" customHeight="1" x14ac:dyDescent="0.15">
      <c r="A51" s="2" t="s">
        <v>512</v>
      </c>
      <c r="B51" s="14" t="s">
        <v>983</v>
      </c>
      <c r="C51" s="14" t="str">
        <f t="shared" si="0"/>
        <v>How many uppercase letters are in the word \"zoolohiya\"?</v>
      </c>
      <c r="D51" s="14" t="str">
        <f t="shared" si="1"/>
        <v>Ilang malaking titik ang mayroon sa salitang \"zoolohiya\"?</v>
      </c>
      <c r="E51" s="14">
        <f t="shared" si="2"/>
        <v>0</v>
      </c>
      <c r="F51" s="14" t="s">
        <v>1082</v>
      </c>
      <c r="G51" s="14" t="s">
        <v>1083</v>
      </c>
      <c r="H51" s="2" t="s">
        <v>1083</v>
      </c>
      <c r="I51" s="15">
        <v>0</v>
      </c>
    </row>
    <row r="52" spans="1:9" ht="15.75" customHeight="1" x14ac:dyDescent="0.15">
      <c r="A52" s="2" t="s">
        <v>512</v>
      </c>
      <c r="B52" s="14" t="s">
        <v>983</v>
      </c>
      <c r="C52" s="14" t="str">
        <f t="shared" si="0"/>
        <v>How many uppercase letters are in the word \"balangkantis\"?</v>
      </c>
      <c r="D52" s="14" t="str">
        <f t="shared" si="1"/>
        <v>Ilang malaking titik ang mayroon sa salitang \"balangkantis\"?</v>
      </c>
      <c r="E52" s="14">
        <f t="shared" si="2"/>
        <v>0</v>
      </c>
      <c r="F52" s="14" t="s">
        <v>1084</v>
      </c>
      <c r="G52" s="14" t="s">
        <v>1085</v>
      </c>
      <c r="H52" s="2" t="s">
        <v>1085</v>
      </c>
      <c r="I52" s="15">
        <v>0</v>
      </c>
    </row>
    <row r="53" spans="1:9" ht="15.75" customHeight="1" x14ac:dyDescent="0.15">
      <c r="A53" s="2" t="s">
        <v>512</v>
      </c>
      <c r="B53" s="14" t="s">
        <v>983</v>
      </c>
      <c r="C53" s="14" t="str">
        <f t="shared" si="0"/>
        <v>How many uppercase letters are in the word \"bise\"?</v>
      </c>
      <c r="D53" s="14" t="str">
        <f t="shared" si="1"/>
        <v>Ilang malaking titik ang mayroon sa salitang \"bise\"?</v>
      </c>
      <c r="E53" s="14">
        <f t="shared" si="2"/>
        <v>0</v>
      </c>
      <c r="F53" s="14" t="s">
        <v>1086</v>
      </c>
      <c r="G53" s="14" t="s">
        <v>1087</v>
      </c>
      <c r="H53" s="2" t="s">
        <v>1087</v>
      </c>
      <c r="I53" s="15">
        <v>0</v>
      </c>
    </row>
    <row r="54" spans="1:9" ht="15.75" customHeight="1" x14ac:dyDescent="0.15">
      <c r="A54" s="2" t="s">
        <v>512</v>
      </c>
      <c r="B54" s="14" t="s">
        <v>983</v>
      </c>
      <c r="C54" s="14" t="str">
        <f t="shared" si="0"/>
        <v>How many uppercase letters are in the word \"bokatibo\"?</v>
      </c>
      <c r="D54" s="14" t="str">
        <f t="shared" si="1"/>
        <v>Ilang malaking titik ang mayroon sa salitang \"bokatibo\"?</v>
      </c>
      <c r="E54" s="14">
        <f t="shared" si="2"/>
        <v>0</v>
      </c>
      <c r="F54" s="14" t="s">
        <v>1088</v>
      </c>
      <c r="G54" s="14" t="s">
        <v>1089</v>
      </c>
      <c r="H54" s="2" t="s">
        <v>1089</v>
      </c>
      <c r="I54" s="15">
        <v>0</v>
      </c>
    </row>
    <row r="55" spans="1:9" ht="15.75" customHeight="1" x14ac:dyDescent="0.15">
      <c r="A55" s="2" t="s">
        <v>512</v>
      </c>
      <c r="B55" s="14" t="s">
        <v>983</v>
      </c>
      <c r="C55" s="14" t="str">
        <f t="shared" si="0"/>
        <v>How many uppercase letters are in the word \"yari\"?</v>
      </c>
      <c r="D55" s="14" t="str">
        <f t="shared" si="1"/>
        <v>Ilang malaking titik ang mayroon sa salitang \"yari\"?</v>
      </c>
      <c r="E55" s="14">
        <f t="shared" si="2"/>
        <v>0</v>
      </c>
      <c r="F55" s="14" t="s">
        <v>1090</v>
      </c>
      <c r="G55" s="14" t="s">
        <v>371</v>
      </c>
      <c r="H55" s="2" t="s">
        <v>371</v>
      </c>
      <c r="I55" s="15">
        <v>0</v>
      </c>
    </row>
    <row r="56" spans="1:9" ht="15.75" customHeight="1" x14ac:dyDescent="0.15">
      <c r="A56" s="2" t="s">
        <v>512</v>
      </c>
      <c r="B56" s="14" t="s">
        <v>983</v>
      </c>
      <c r="C56" s="14" t="str">
        <f t="shared" si="0"/>
        <v>How many uppercase letters are in the word \"mantala\"?</v>
      </c>
      <c r="D56" s="14" t="str">
        <f t="shared" si="1"/>
        <v>Ilang malaking titik ang mayroon sa salitang \"mantala\"?</v>
      </c>
      <c r="E56" s="14">
        <f t="shared" si="2"/>
        <v>0</v>
      </c>
      <c r="F56" s="14" t="s">
        <v>1091</v>
      </c>
      <c r="G56" s="14" t="s">
        <v>1092</v>
      </c>
      <c r="H56" s="2" t="s">
        <v>1092</v>
      </c>
      <c r="I56" s="15">
        <v>0</v>
      </c>
    </row>
    <row r="57" spans="1:9" ht="15.75" customHeight="1" x14ac:dyDescent="0.15">
      <c r="A57" s="2" t="s">
        <v>512</v>
      </c>
      <c r="B57" s="14" t="s">
        <v>983</v>
      </c>
      <c r="C57" s="14" t="str">
        <f t="shared" si="0"/>
        <v>How many uppercase letters are in the word \"humit\"?</v>
      </c>
      <c r="D57" s="14" t="str">
        <f t="shared" si="1"/>
        <v>Ilang malaking titik ang mayroon sa salitang \"humit\"?</v>
      </c>
      <c r="E57" s="14">
        <f t="shared" si="2"/>
        <v>0</v>
      </c>
      <c r="F57" s="14" t="s">
        <v>1093</v>
      </c>
      <c r="G57" s="14" t="s">
        <v>1094</v>
      </c>
      <c r="H57" s="2" t="s">
        <v>1094</v>
      </c>
      <c r="I57" s="15">
        <v>0</v>
      </c>
    </row>
    <row r="58" spans="1:9" ht="15.75" customHeight="1" x14ac:dyDescent="0.15">
      <c r="A58" s="2" t="s">
        <v>512</v>
      </c>
      <c r="B58" s="14" t="s">
        <v>983</v>
      </c>
      <c r="C58" s="14" t="str">
        <f t="shared" si="0"/>
        <v>How many uppercase letters are in the word \"pribado\"?</v>
      </c>
      <c r="D58" s="14" t="str">
        <f t="shared" si="1"/>
        <v>Ilang malaking titik ang mayroon sa salitang \"pribado\"?</v>
      </c>
      <c r="E58" s="14">
        <f t="shared" si="2"/>
        <v>0</v>
      </c>
      <c r="F58" s="14" t="s">
        <v>1095</v>
      </c>
      <c r="G58" s="14" t="s">
        <v>1096</v>
      </c>
      <c r="H58" s="2" t="s">
        <v>1096</v>
      </c>
      <c r="I58" s="15">
        <v>0</v>
      </c>
    </row>
    <row r="59" spans="1:9" ht="15.75" customHeight="1" x14ac:dyDescent="0.15">
      <c r="A59" s="2" t="s">
        <v>512</v>
      </c>
      <c r="B59" s="14" t="s">
        <v>983</v>
      </c>
      <c r="C59" s="14" t="str">
        <f t="shared" si="0"/>
        <v>How many uppercase letters are in the word \"talambo\"?</v>
      </c>
      <c r="D59" s="14" t="str">
        <f t="shared" si="1"/>
        <v>Ilang malaking titik ang mayroon sa salitang \"talambo\"?</v>
      </c>
      <c r="E59" s="14">
        <f t="shared" si="2"/>
        <v>0</v>
      </c>
      <c r="F59" s="14" t="s">
        <v>1097</v>
      </c>
      <c r="G59" s="14" t="s">
        <v>1098</v>
      </c>
      <c r="H59" s="2" t="s">
        <v>1098</v>
      </c>
      <c r="I59" s="15">
        <v>0</v>
      </c>
    </row>
    <row r="60" spans="1:9" ht="15.75" customHeight="1" x14ac:dyDescent="0.15">
      <c r="A60" s="2" t="s">
        <v>512</v>
      </c>
      <c r="B60" s="14" t="s">
        <v>983</v>
      </c>
      <c r="C60" s="14" t="str">
        <f t="shared" si="0"/>
        <v>How many uppercase letters are in the word \"tallo\"?</v>
      </c>
      <c r="D60" s="14" t="str">
        <f t="shared" si="1"/>
        <v>Ilang malaking titik ang mayroon sa salitang \"tallo\"?</v>
      </c>
      <c r="E60" s="14">
        <f t="shared" si="2"/>
        <v>0</v>
      </c>
      <c r="F60" s="14" t="s">
        <v>1099</v>
      </c>
      <c r="G60" s="14" t="s">
        <v>1100</v>
      </c>
      <c r="H60" s="2" t="s">
        <v>1100</v>
      </c>
      <c r="I60" s="15">
        <v>0</v>
      </c>
    </row>
    <row r="61" spans="1:9" ht="15.75" customHeight="1" x14ac:dyDescent="0.15">
      <c r="A61" s="2" t="s">
        <v>512</v>
      </c>
      <c r="B61" s="14" t="s">
        <v>983</v>
      </c>
      <c r="C61" s="14" t="str">
        <f t="shared" si="0"/>
        <v>How many uppercase letters are in the word \"kontestant\"?</v>
      </c>
      <c r="D61" s="14" t="str">
        <f t="shared" si="1"/>
        <v>Ilang malaking titik ang mayroon sa salitang \"kontestant\"?</v>
      </c>
      <c r="E61" s="14">
        <f t="shared" si="2"/>
        <v>0</v>
      </c>
      <c r="F61" s="14" t="s">
        <v>1101</v>
      </c>
      <c r="G61" s="14" t="s">
        <v>1102</v>
      </c>
      <c r="H61" s="2" t="s">
        <v>1102</v>
      </c>
      <c r="I61" s="15">
        <v>0</v>
      </c>
    </row>
    <row r="62" spans="1:9" ht="15.75" customHeight="1" x14ac:dyDescent="0.15">
      <c r="A62" s="2" t="s">
        <v>512</v>
      </c>
      <c r="B62" s="14" t="s">
        <v>983</v>
      </c>
      <c r="C62" s="14" t="str">
        <f t="shared" si="0"/>
        <v>How many uppercase letters are in the word \"plating\"?</v>
      </c>
      <c r="D62" s="14" t="str">
        <f t="shared" si="1"/>
        <v>Ilang malaking titik ang mayroon sa salitang \"plating\"?</v>
      </c>
      <c r="E62" s="14">
        <f t="shared" si="2"/>
        <v>0</v>
      </c>
      <c r="F62" s="14" t="s">
        <v>1103</v>
      </c>
      <c r="G62" s="14" t="s">
        <v>1104</v>
      </c>
      <c r="H62" s="2" t="s">
        <v>1104</v>
      </c>
      <c r="I62" s="15">
        <v>0</v>
      </c>
    </row>
    <row r="63" spans="1:9" ht="15.75" customHeight="1" x14ac:dyDescent="0.15">
      <c r="A63" s="2" t="s">
        <v>512</v>
      </c>
      <c r="B63" s="14" t="s">
        <v>983</v>
      </c>
      <c r="C63" s="14" t="str">
        <f t="shared" si="0"/>
        <v>How many uppercase letters are in the word \"laktaw\"?</v>
      </c>
      <c r="D63" s="14" t="str">
        <f t="shared" si="1"/>
        <v>Ilang malaking titik ang mayroon sa salitang \"laktaw\"?</v>
      </c>
      <c r="E63" s="14">
        <f t="shared" si="2"/>
        <v>0</v>
      </c>
      <c r="F63" s="14" t="s">
        <v>1105</v>
      </c>
      <c r="G63" s="14" t="s">
        <v>1106</v>
      </c>
      <c r="H63" s="2" t="s">
        <v>1106</v>
      </c>
      <c r="I63" s="15">
        <v>0</v>
      </c>
    </row>
    <row r="64" spans="1:9" ht="15.75" customHeight="1" x14ac:dyDescent="0.15">
      <c r="A64" s="2" t="s">
        <v>512</v>
      </c>
      <c r="B64" s="14" t="s">
        <v>983</v>
      </c>
      <c r="C64" s="14" t="str">
        <f t="shared" si="0"/>
        <v>How many uppercase letters are in the word \"electrostatic\"?</v>
      </c>
      <c r="D64" s="14" t="str">
        <f t="shared" si="1"/>
        <v>Ilang malaking titik ang mayroon sa salitang \"electrostatic\"?</v>
      </c>
      <c r="E64" s="14">
        <f t="shared" si="2"/>
        <v>0</v>
      </c>
      <c r="F64" s="14" t="s">
        <v>1107</v>
      </c>
      <c r="G64" s="14" t="s">
        <v>1108</v>
      </c>
      <c r="H64" s="2" t="s">
        <v>1108</v>
      </c>
      <c r="I64" s="15">
        <v>0</v>
      </c>
    </row>
    <row r="65" spans="1:9" ht="15.75" customHeight="1" x14ac:dyDescent="0.15">
      <c r="A65" s="2" t="s">
        <v>512</v>
      </c>
      <c r="B65" s="14" t="s">
        <v>983</v>
      </c>
      <c r="C65" s="14" t="str">
        <f t="shared" si="0"/>
        <v>How many uppercase letters are in the word \"leig kemagi\"?</v>
      </c>
      <c r="D65" s="14" t="str">
        <f t="shared" si="1"/>
        <v>Ilang malaking titik ang mayroon sa salitang \"leig kemagi\"?</v>
      </c>
      <c r="E65" s="14">
        <f t="shared" si="2"/>
        <v>0</v>
      </c>
      <c r="F65" s="14" t="s">
        <v>1109</v>
      </c>
      <c r="G65" s="14" t="s">
        <v>1110</v>
      </c>
      <c r="H65" s="2" t="s">
        <v>1110</v>
      </c>
      <c r="I65" s="15">
        <v>0</v>
      </c>
    </row>
    <row r="66" spans="1:9" ht="15.75" customHeight="1" x14ac:dyDescent="0.15">
      <c r="A66" s="2" t="s">
        <v>512</v>
      </c>
      <c r="B66" s="14" t="s">
        <v>983</v>
      </c>
      <c r="C66" s="14" t="str">
        <f t="shared" si="0"/>
        <v>How many uppercase letters are in the word \"santing\"?</v>
      </c>
      <c r="D66" s="14" t="str">
        <f t="shared" si="1"/>
        <v>Ilang malaking titik ang mayroon sa salitang \"santing\"?</v>
      </c>
      <c r="E66" s="14">
        <f t="shared" si="2"/>
        <v>0</v>
      </c>
      <c r="F66" s="14" t="s">
        <v>1111</v>
      </c>
      <c r="G66" s="14" t="s">
        <v>1112</v>
      </c>
      <c r="H66" s="2" t="s">
        <v>1112</v>
      </c>
      <c r="I66" s="15">
        <v>0</v>
      </c>
    </row>
    <row r="67" spans="1:9" ht="15.75" customHeight="1" x14ac:dyDescent="0.15">
      <c r="A67" s="2" t="s">
        <v>512</v>
      </c>
      <c r="B67" s="14" t="s">
        <v>983</v>
      </c>
      <c r="C67" s="14" t="str">
        <f t="shared" si="0"/>
        <v>How many uppercase letters are in the word \"tuwel\"?</v>
      </c>
      <c r="D67" s="14" t="str">
        <f t="shared" si="1"/>
        <v>Ilang malaking titik ang mayroon sa salitang \"tuwel\"?</v>
      </c>
      <c r="E67" s="14">
        <f t="shared" si="2"/>
        <v>0</v>
      </c>
      <c r="F67" s="14" t="s">
        <v>1113</v>
      </c>
      <c r="G67" s="14" t="s">
        <v>1114</v>
      </c>
      <c r="H67" s="2" t="s">
        <v>1114</v>
      </c>
      <c r="I67" s="15">
        <v>0</v>
      </c>
    </row>
    <row r="68" spans="1:9" ht="13" x14ac:dyDescent="0.15">
      <c r="A68" s="2" t="s">
        <v>512</v>
      </c>
      <c r="B68" s="14" t="s">
        <v>983</v>
      </c>
      <c r="C68" s="14" t="str">
        <f t="shared" si="0"/>
        <v>How many uppercase letters are in the word \"hard knocks\"?</v>
      </c>
      <c r="D68" s="14" t="str">
        <f t="shared" si="1"/>
        <v>Ilang malaking titik ang mayroon sa salitang \"hard knocks\"?</v>
      </c>
      <c r="E68" s="14">
        <f t="shared" si="2"/>
        <v>0</v>
      </c>
      <c r="F68" s="14" t="s">
        <v>1115</v>
      </c>
      <c r="G68" s="14" t="s">
        <v>1116</v>
      </c>
      <c r="H68" s="2" t="s">
        <v>1116</v>
      </c>
      <c r="I68" s="15">
        <v>0</v>
      </c>
    </row>
    <row r="69" spans="1:9" ht="13" x14ac:dyDescent="0.15">
      <c r="A69" s="2" t="s">
        <v>512</v>
      </c>
      <c r="B69" s="14" t="s">
        <v>983</v>
      </c>
      <c r="C69" s="14" t="str">
        <f t="shared" si="0"/>
        <v>How many uppercase letters are in the word \"demandante\"?</v>
      </c>
      <c r="D69" s="14" t="str">
        <f t="shared" si="1"/>
        <v>Ilang malaking titik ang mayroon sa salitang \"demandante\"?</v>
      </c>
      <c r="E69" s="14">
        <f t="shared" si="2"/>
        <v>0</v>
      </c>
      <c r="F69" s="14" t="s">
        <v>1117</v>
      </c>
      <c r="G69" s="14" t="s">
        <v>1118</v>
      </c>
      <c r="H69" s="2" t="s">
        <v>1118</v>
      </c>
      <c r="I69" s="15">
        <v>0</v>
      </c>
    </row>
    <row r="70" spans="1:9" ht="13" x14ac:dyDescent="0.15">
      <c r="A70" s="2" t="s">
        <v>512</v>
      </c>
      <c r="B70" s="14" t="s">
        <v>983</v>
      </c>
      <c r="C70" s="14" t="str">
        <f t="shared" si="0"/>
        <v>How many uppercase letters are in the word \"agal\"?</v>
      </c>
      <c r="D70" s="14" t="str">
        <f t="shared" si="1"/>
        <v>Ilang malaking titik ang mayroon sa salitang \"agal\"?</v>
      </c>
      <c r="E70" s="14">
        <f t="shared" si="2"/>
        <v>0</v>
      </c>
      <c r="F70" s="14" t="s">
        <v>1119</v>
      </c>
      <c r="G70" s="14" t="s">
        <v>1120</v>
      </c>
      <c r="H70" s="2" t="s">
        <v>1120</v>
      </c>
      <c r="I70" s="15">
        <v>0</v>
      </c>
    </row>
    <row r="71" spans="1:9" ht="13" x14ac:dyDescent="0.15">
      <c r="A71" s="2" t="s">
        <v>512</v>
      </c>
      <c r="B71" s="14" t="s">
        <v>983</v>
      </c>
      <c r="C71" s="14" t="str">
        <f t="shared" si="0"/>
        <v>How many uppercase letters are in the word \"garit\"?</v>
      </c>
      <c r="D71" s="14" t="str">
        <f t="shared" si="1"/>
        <v>Ilang malaking titik ang mayroon sa salitang \"garit\"?</v>
      </c>
      <c r="E71" s="14">
        <f t="shared" si="2"/>
        <v>0</v>
      </c>
      <c r="F71" s="14" t="s">
        <v>1121</v>
      </c>
      <c r="G71" s="14" t="s">
        <v>1122</v>
      </c>
      <c r="H71" s="2" t="s">
        <v>1122</v>
      </c>
      <c r="I71" s="15">
        <v>0</v>
      </c>
    </row>
    <row r="72" spans="1:9" ht="13" x14ac:dyDescent="0.15">
      <c r="A72" s="2" t="s">
        <v>512</v>
      </c>
      <c r="B72" s="14" t="s">
        <v>983</v>
      </c>
      <c r="C72" s="14" t="str">
        <f t="shared" si="0"/>
        <v>How many uppercase letters are in the word \"uko\"?</v>
      </c>
      <c r="D72" s="14" t="str">
        <f t="shared" si="1"/>
        <v>Ilang malaking titik ang mayroon sa salitang \"uko\"?</v>
      </c>
      <c r="E72" s="14">
        <f t="shared" si="2"/>
        <v>0</v>
      </c>
      <c r="F72" s="14" t="s">
        <v>1123</v>
      </c>
      <c r="G72" s="14" t="s">
        <v>1124</v>
      </c>
      <c r="H72" s="2" t="s">
        <v>1124</v>
      </c>
      <c r="I72" s="15">
        <v>0</v>
      </c>
    </row>
    <row r="73" spans="1:9" ht="13" x14ac:dyDescent="0.15">
      <c r="A73" s="2" t="s">
        <v>512</v>
      </c>
      <c r="B73" s="14" t="s">
        <v>983</v>
      </c>
      <c r="C73" s="14" t="str">
        <f t="shared" si="0"/>
        <v>How many uppercase letters are in the word \"bugtaton\"?</v>
      </c>
      <c r="D73" s="14" t="str">
        <f t="shared" si="1"/>
        <v>Ilang malaking titik ang mayroon sa salitang \"bugtaton\"?</v>
      </c>
      <c r="E73" s="14">
        <f t="shared" si="2"/>
        <v>0</v>
      </c>
      <c r="F73" s="14" t="s">
        <v>1125</v>
      </c>
      <c r="G73" s="14" t="s">
        <v>1126</v>
      </c>
      <c r="H73" s="2" t="s">
        <v>1126</v>
      </c>
      <c r="I73" s="15">
        <v>0</v>
      </c>
    </row>
    <row r="74" spans="1:9" ht="13" x14ac:dyDescent="0.15">
      <c r="A74" s="2" t="s">
        <v>512</v>
      </c>
      <c r="B74" s="14" t="s">
        <v>983</v>
      </c>
      <c r="C74" s="14" t="str">
        <f t="shared" si="0"/>
        <v>How many uppercase letters are in the word \"grosero\"?</v>
      </c>
      <c r="D74" s="14" t="str">
        <f t="shared" si="1"/>
        <v>Ilang malaking titik ang mayroon sa salitang \"grosero\"?</v>
      </c>
      <c r="E74" s="14">
        <f t="shared" si="2"/>
        <v>0</v>
      </c>
      <c r="F74" s="14" t="s">
        <v>1127</v>
      </c>
      <c r="G74" s="14" t="s">
        <v>1128</v>
      </c>
      <c r="H74" s="2" t="s">
        <v>1128</v>
      </c>
      <c r="I74" s="15">
        <v>0</v>
      </c>
    </row>
    <row r="75" spans="1:9" ht="13" x14ac:dyDescent="0.15">
      <c r="A75" s="2" t="s">
        <v>512</v>
      </c>
      <c r="B75" s="14" t="s">
        <v>983</v>
      </c>
      <c r="C75" s="14" t="str">
        <f t="shared" si="0"/>
        <v>How many uppercase letters are in the word \"pamantungan\"?</v>
      </c>
      <c r="D75" s="14" t="str">
        <f t="shared" si="1"/>
        <v>Ilang malaking titik ang mayroon sa salitang \"pamantungan\"?</v>
      </c>
      <c r="E75" s="14">
        <f t="shared" si="2"/>
        <v>0</v>
      </c>
      <c r="F75" s="14" t="s">
        <v>1129</v>
      </c>
      <c r="G75" s="14" t="s">
        <v>1130</v>
      </c>
      <c r="H75" s="2" t="s">
        <v>1130</v>
      </c>
      <c r="I75" s="15">
        <v>0</v>
      </c>
    </row>
    <row r="76" spans="1:9" ht="13" x14ac:dyDescent="0.15">
      <c r="A76" s="2" t="s">
        <v>512</v>
      </c>
      <c r="B76" s="14" t="s">
        <v>983</v>
      </c>
      <c r="C76" s="14" t="str">
        <f t="shared" si="0"/>
        <v>How many uppercase letters are in the word \"footing\"?</v>
      </c>
      <c r="D76" s="14" t="str">
        <f t="shared" si="1"/>
        <v>Ilang malaking titik ang mayroon sa salitang \"footing\"?</v>
      </c>
      <c r="E76" s="14">
        <f t="shared" si="2"/>
        <v>0</v>
      </c>
      <c r="F76" s="14" t="s">
        <v>1131</v>
      </c>
      <c r="G76" s="14" t="s">
        <v>1132</v>
      </c>
      <c r="H76" s="2" t="s">
        <v>1132</v>
      </c>
      <c r="I76" s="15">
        <v>0</v>
      </c>
    </row>
    <row r="77" spans="1:9" ht="13" x14ac:dyDescent="0.15">
      <c r="A77" s="2" t="s">
        <v>512</v>
      </c>
      <c r="B77" s="14" t="s">
        <v>983</v>
      </c>
      <c r="C77" s="14" t="str">
        <f t="shared" si="0"/>
        <v>How many uppercase letters are in the word \"erehiya\"?</v>
      </c>
      <c r="D77" s="14" t="str">
        <f t="shared" si="1"/>
        <v>Ilang malaking titik ang mayroon sa salitang \"erehiya\"?</v>
      </c>
      <c r="E77" s="14">
        <f t="shared" si="2"/>
        <v>0</v>
      </c>
      <c r="F77" s="14" t="s">
        <v>1133</v>
      </c>
      <c r="G77" s="14" t="s">
        <v>1134</v>
      </c>
      <c r="H77" s="2" t="s">
        <v>1134</v>
      </c>
      <c r="I77" s="15">
        <v>0</v>
      </c>
    </row>
    <row r="78" spans="1:9" ht="13" x14ac:dyDescent="0.15">
      <c r="A78" s="2" t="s">
        <v>512</v>
      </c>
      <c r="B78" s="14" t="s">
        <v>983</v>
      </c>
      <c r="C78" s="14" t="str">
        <f t="shared" si="0"/>
        <v>How many uppercase letters are in the word \"kutsay\"?</v>
      </c>
      <c r="D78" s="14" t="str">
        <f t="shared" si="1"/>
        <v>Ilang malaking titik ang mayroon sa salitang \"kutsay\"?</v>
      </c>
      <c r="E78" s="14">
        <f t="shared" si="2"/>
        <v>0</v>
      </c>
      <c r="F78" s="14" t="s">
        <v>1135</v>
      </c>
      <c r="G78" s="14" t="s">
        <v>1136</v>
      </c>
      <c r="H78" s="2" t="s">
        <v>1136</v>
      </c>
      <c r="I78" s="15">
        <v>0</v>
      </c>
    </row>
    <row r="79" spans="1:9" ht="13" x14ac:dyDescent="0.15">
      <c r="A79" s="2" t="s">
        <v>512</v>
      </c>
      <c r="B79" s="14" t="s">
        <v>983</v>
      </c>
      <c r="C79" s="14" t="str">
        <f t="shared" si="0"/>
        <v>How many uppercase letters are in the word \"tanglo\"?</v>
      </c>
      <c r="D79" s="14" t="str">
        <f t="shared" si="1"/>
        <v>Ilang malaking titik ang mayroon sa salitang \"tanglo\"?</v>
      </c>
      <c r="E79" s="14">
        <f t="shared" si="2"/>
        <v>0</v>
      </c>
      <c r="F79" s="14" t="s">
        <v>1137</v>
      </c>
      <c r="G79" s="14" t="s">
        <v>1138</v>
      </c>
      <c r="H79" s="2" t="s">
        <v>1138</v>
      </c>
      <c r="I79" s="15">
        <v>0</v>
      </c>
    </row>
    <row r="80" spans="1:9" ht="13" x14ac:dyDescent="0.15">
      <c r="A80" s="2" t="s">
        <v>512</v>
      </c>
      <c r="B80" s="14" t="s">
        <v>983</v>
      </c>
      <c r="C80" s="14" t="str">
        <f t="shared" si="0"/>
        <v>How many uppercase letters are in the word \"trumpo\"?</v>
      </c>
      <c r="D80" s="14" t="str">
        <f t="shared" si="1"/>
        <v>Ilang malaking titik ang mayroon sa salitang \"trumpo\"?</v>
      </c>
      <c r="E80" s="14">
        <f t="shared" si="2"/>
        <v>0</v>
      </c>
      <c r="F80" s="14" t="s">
        <v>1139</v>
      </c>
      <c r="G80" s="14" t="s">
        <v>1140</v>
      </c>
      <c r="H80" s="2" t="s">
        <v>1140</v>
      </c>
      <c r="I80" s="15">
        <v>0</v>
      </c>
    </row>
    <row r="81" spans="1:9" ht="13" x14ac:dyDescent="0.15">
      <c r="A81" s="2" t="s">
        <v>512</v>
      </c>
      <c r="B81" s="14" t="s">
        <v>983</v>
      </c>
      <c r="C81" s="14" t="str">
        <f t="shared" si="0"/>
        <v>How many uppercase letters are in the word \"bansag\"?</v>
      </c>
      <c r="D81" s="14" t="str">
        <f t="shared" si="1"/>
        <v>Ilang malaking titik ang mayroon sa salitang \"bansag\"?</v>
      </c>
      <c r="E81" s="14">
        <f t="shared" si="2"/>
        <v>0</v>
      </c>
      <c r="F81" s="14" t="s">
        <v>1141</v>
      </c>
      <c r="G81" s="14" t="s">
        <v>1142</v>
      </c>
      <c r="H81" s="2" t="s">
        <v>1142</v>
      </c>
      <c r="I81" s="15">
        <v>0</v>
      </c>
    </row>
    <row r="82" spans="1:9" ht="13" x14ac:dyDescent="0.15">
      <c r="A82" s="2" t="s">
        <v>512</v>
      </c>
      <c r="B82" s="14" t="s">
        <v>983</v>
      </c>
      <c r="C82" s="14" t="str">
        <f t="shared" si="0"/>
        <v>How many uppercase letters are in the word \"redundansiya\"?</v>
      </c>
      <c r="D82" s="14" t="str">
        <f t="shared" si="1"/>
        <v>Ilang malaking titik ang mayroon sa salitang \"redundansiya\"?</v>
      </c>
      <c r="E82" s="14">
        <f t="shared" si="2"/>
        <v>0</v>
      </c>
      <c r="F82" s="14" t="s">
        <v>1143</v>
      </c>
      <c r="G82" s="14" t="s">
        <v>1144</v>
      </c>
      <c r="H82" s="2" t="s">
        <v>1144</v>
      </c>
      <c r="I82" s="15">
        <v>0</v>
      </c>
    </row>
    <row r="83" spans="1:9" ht="13" x14ac:dyDescent="0.15">
      <c r="A83" s="2" t="s">
        <v>512</v>
      </c>
      <c r="B83" s="14" t="s">
        <v>983</v>
      </c>
      <c r="C83" s="14" t="str">
        <f t="shared" si="0"/>
        <v>How many uppercase letters are in the word \"tampawak\"?</v>
      </c>
      <c r="D83" s="14" t="str">
        <f t="shared" si="1"/>
        <v>Ilang malaking titik ang mayroon sa salitang \"tampawak\"?</v>
      </c>
      <c r="E83" s="14">
        <f t="shared" si="2"/>
        <v>0</v>
      </c>
      <c r="F83" s="14" t="s">
        <v>1145</v>
      </c>
      <c r="G83" s="14" t="s">
        <v>1146</v>
      </c>
      <c r="H83" s="2" t="s">
        <v>1146</v>
      </c>
      <c r="I83" s="15">
        <v>0</v>
      </c>
    </row>
    <row r="84" spans="1:9" ht="13" x14ac:dyDescent="0.15">
      <c r="A84" s="2" t="s">
        <v>512</v>
      </c>
      <c r="B84" s="14" t="s">
        <v>983</v>
      </c>
      <c r="C84" s="14" t="str">
        <f t="shared" si="0"/>
        <v>How many uppercase letters are in the word \"ngulungkot\"?</v>
      </c>
      <c r="D84" s="14" t="str">
        <f t="shared" si="1"/>
        <v>Ilang malaking titik ang mayroon sa salitang \"ngulungkot\"?</v>
      </c>
      <c r="E84" s="14">
        <f t="shared" si="2"/>
        <v>0</v>
      </c>
      <c r="F84" s="14" t="s">
        <v>1147</v>
      </c>
      <c r="G84" s="14" t="s">
        <v>1148</v>
      </c>
      <c r="H84" s="2" t="s">
        <v>1148</v>
      </c>
      <c r="I84" s="15">
        <v>0</v>
      </c>
    </row>
    <row r="85" spans="1:9" ht="13" x14ac:dyDescent="0.15">
      <c r="A85" s="2" t="s">
        <v>512</v>
      </c>
      <c r="B85" s="14" t="s">
        <v>983</v>
      </c>
      <c r="C85" s="14" t="str">
        <f t="shared" si="0"/>
        <v>How many uppercase letters are in the word \"kuyob\"?</v>
      </c>
      <c r="D85" s="14" t="str">
        <f t="shared" si="1"/>
        <v>Ilang malaking titik ang mayroon sa salitang \"kuyob\"?</v>
      </c>
      <c r="E85" s="14">
        <f t="shared" si="2"/>
        <v>0</v>
      </c>
      <c r="F85" s="14" t="s">
        <v>1149</v>
      </c>
      <c r="G85" s="14" t="s">
        <v>1150</v>
      </c>
      <c r="H85" s="2" t="s">
        <v>1150</v>
      </c>
      <c r="I85" s="15">
        <v>0</v>
      </c>
    </row>
    <row r="86" spans="1:9" ht="13" x14ac:dyDescent="0.15">
      <c r="A86" s="2" t="s">
        <v>512</v>
      </c>
      <c r="B86" s="14" t="s">
        <v>983</v>
      </c>
      <c r="C86" s="14" t="str">
        <f t="shared" si="0"/>
        <v>How many uppercase letters are in the word \"alimpuyok\"?</v>
      </c>
      <c r="D86" s="14" t="str">
        <f t="shared" si="1"/>
        <v>Ilang malaking titik ang mayroon sa salitang \"alimpuyok\"?</v>
      </c>
      <c r="E86" s="14">
        <f t="shared" si="2"/>
        <v>0</v>
      </c>
      <c r="F86" s="14" t="s">
        <v>1151</v>
      </c>
      <c r="G86" s="14" t="s">
        <v>1152</v>
      </c>
      <c r="H86" s="2" t="s">
        <v>1152</v>
      </c>
      <c r="I86" s="15">
        <v>0</v>
      </c>
    </row>
    <row r="87" spans="1:9" ht="13" x14ac:dyDescent="0.15">
      <c r="A87" s="2" t="s">
        <v>512</v>
      </c>
      <c r="B87" s="14" t="s">
        <v>983</v>
      </c>
      <c r="C87" s="14" t="str">
        <f t="shared" si="0"/>
        <v>How many uppercase letters are in the word \"torment\"?</v>
      </c>
      <c r="D87" s="14" t="str">
        <f t="shared" si="1"/>
        <v>Ilang malaking titik ang mayroon sa salitang \"torment\"?</v>
      </c>
      <c r="E87" s="14">
        <f t="shared" si="2"/>
        <v>0</v>
      </c>
      <c r="F87" s="14" t="s">
        <v>1153</v>
      </c>
      <c r="G87" s="14" t="s">
        <v>1154</v>
      </c>
      <c r="H87" s="2" t="s">
        <v>1154</v>
      </c>
      <c r="I87" s="15">
        <v>0</v>
      </c>
    </row>
    <row r="88" spans="1:9" ht="13" x14ac:dyDescent="0.15">
      <c r="A88" s="2" t="s">
        <v>512</v>
      </c>
      <c r="B88" s="14" t="s">
        <v>983</v>
      </c>
      <c r="C88" s="14" t="str">
        <f t="shared" si="0"/>
        <v>How many uppercase letters are in the word \"mayaman\"?</v>
      </c>
      <c r="D88" s="14" t="str">
        <f t="shared" si="1"/>
        <v>Ilang malaking titik ang mayroon sa salitang \"mayaman\"?</v>
      </c>
      <c r="E88" s="14">
        <f t="shared" si="2"/>
        <v>0</v>
      </c>
      <c r="F88" s="14" t="s">
        <v>1155</v>
      </c>
      <c r="G88" s="14" t="s">
        <v>1156</v>
      </c>
      <c r="H88" s="2" t="s">
        <v>1156</v>
      </c>
      <c r="I88" s="15">
        <v>0</v>
      </c>
    </row>
    <row r="89" spans="1:9" ht="13" x14ac:dyDescent="0.15">
      <c r="A89" s="2" t="s">
        <v>512</v>
      </c>
      <c r="B89" s="14" t="s">
        <v>983</v>
      </c>
      <c r="C89" s="14" t="str">
        <f t="shared" si="0"/>
        <v>How many uppercase letters are in the word \"sadya\"?</v>
      </c>
      <c r="D89" s="14" t="str">
        <f t="shared" si="1"/>
        <v>Ilang malaking titik ang mayroon sa salitang \"sadya\"?</v>
      </c>
      <c r="E89" s="14">
        <f t="shared" si="2"/>
        <v>0</v>
      </c>
      <c r="F89" s="14" t="s">
        <v>1157</v>
      </c>
      <c r="G89" s="14" t="s">
        <v>1158</v>
      </c>
      <c r="H89" s="2" t="s">
        <v>1158</v>
      </c>
      <c r="I89" s="15">
        <v>0</v>
      </c>
    </row>
    <row r="90" spans="1:9" ht="13" x14ac:dyDescent="0.15">
      <c r="A90" s="2" t="s">
        <v>512</v>
      </c>
      <c r="B90" s="14" t="s">
        <v>983</v>
      </c>
      <c r="C90" s="14" t="str">
        <f t="shared" si="0"/>
        <v>How many uppercase letters are in the word \"kagan\"?</v>
      </c>
      <c r="D90" s="14" t="str">
        <f t="shared" si="1"/>
        <v>Ilang malaking titik ang mayroon sa salitang \"kagan\"?</v>
      </c>
      <c r="E90" s="14">
        <f t="shared" si="2"/>
        <v>0</v>
      </c>
      <c r="F90" s="14" t="s">
        <v>1159</v>
      </c>
      <c r="G90" s="14" t="s">
        <v>1160</v>
      </c>
      <c r="H90" s="2" t="s">
        <v>1160</v>
      </c>
      <c r="I90" s="15">
        <v>0</v>
      </c>
    </row>
    <row r="91" spans="1:9" ht="13" x14ac:dyDescent="0.15">
      <c r="A91" s="2" t="s">
        <v>512</v>
      </c>
      <c r="B91" s="14" t="s">
        <v>983</v>
      </c>
      <c r="C91" s="14" t="str">
        <f t="shared" si="0"/>
        <v>How many uppercase letters are in the word \"uma\"?</v>
      </c>
      <c r="D91" s="14" t="str">
        <f t="shared" si="1"/>
        <v>Ilang malaking titik ang mayroon sa salitang \"uma\"?</v>
      </c>
      <c r="E91" s="14">
        <f t="shared" si="2"/>
        <v>0</v>
      </c>
      <c r="F91" s="14" t="s">
        <v>1161</v>
      </c>
      <c r="G91" s="14" t="s">
        <v>1162</v>
      </c>
      <c r="H91" s="2" t="s">
        <v>1162</v>
      </c>
      <c r="I91" s="15">
        <v>0</v>
      </c>
    </row>
    <row r="92" spans="1:9" ht="13" x14ac:dyDescent="0.15">
      <c r="A92" s="2" t="s">
        <v>512</v>
      </c>
      <c r="B92" s="14" t="s">
        <v>983</v>
      </c>
      <c r="C92" s="14" t="str">
        <f t="shared" si="0"/>
        <v>How many uppercase letters are in the word \"irgat\"?</v>
      </c>
      <c r="D92" s="14" t="str">
        <f t="shared" si="1"/>
        <v>Ilang malaking titik ang mayroon sa salitang \"irgat\"?</v>
      </c>
      <c r="E92" s="14">
        <f t="shared" si="2"/>
        <v>0</v>
      </c>
      <c r="F92" s="14" t="s">
        <v>1163</v>
      </c>
      <c r="G92" s="14" t="s">
        <v>1164</v>
      </c>
      <c r="H92" s="2" t="s">
        <v>1164</v>
      </c>
      <c r="I92" s="15">
        <v>0</v>
      </c>
    </row>
    <row r="93" spans="1:9" ht="13" x14ac:dyDescent="0.15">
      <c r="A93" s="2" t="s">
        <v>512</v>
      </c>
      <c r="B93" s="14" t="s">
        <v>983</v>
      </c>
      <c r="C93" s="14" t="str">
        <f t="shared" si="0"/>
        <v>How many uppercase letters are in the word \"karboniko\"?</v>
      </c>
      <c r="D93" s="14" t="str">
        <f t="shared" si="1"/>
        <v>Ilang malaking titik ang mayroon sa salitang \"karboniko\"?</v>
      </c>
      <c r="E93" s="14">
        <f t="shared" si="2"/>
        <v>0</v>
      </c>
      <c r="F93" s="14" t="s">
        <v>1165</v>
      </c>
      <c r="G93" s="14" t="s">
        <v>1166</v>
      </c>
      <c r="H93" s="2" t="s">
        <v>1166</v>
      </c>
      <c r="I93" s="15">
        <v>0</v>
      </c>
    </row>
    <row r="94" spans="1:9" ht="13" x14ac:dyDescent="0.15">
      <c r="A94" s="2" t="s">
        <v>512</v>
      </c>
      <c r="B94" s="14" t="s">
        <v>983</v>
      </c>
      <c r="C94" s="14" t="str">
        <f t="shared" si="0"/>
        <v>How many uppercase letters are in the word \"Mamumugot\"?</v>
      </c>
      <c r="D94" s="14" t="str">
        <f t="shared" si="1"/>
        <v>Ilang malaking titik ang mayroon sa salitang \"Mamumugot\"?</v>
      </c>
      <c r="E94" s="14">
        <f t="shared" si="2"/>
        <v>1</v>
      </c>
      <c r="F94" s="14" t="s">
        <v>1167</v>
      </c>
      <c r="G94" s="14" t="s">
        <v>1168</v>
      </c>
      <c r="H94" s="2" t="s">
        <v>1169</v>
      </c>
      <c r="I94" s="15">
        <v>1</v>
      </c>
    </row>
    <row r="95" spans="1:9" ht="13" x14ac:dyDescent="0.15">
      <c r="A95" s="2" t="s">
        <v>512</v>
      </c>
      <c r="B95" s="14" t="s">
        <v>983</v>
      </c>
      <c r="C95" s="14" t="str">
        <f t="shared" si="0"/>
        <v>How many uppercase letters are in the word \"Ormoc\"?</v>
      </c>
      <c r="D95" s="14" t="str">
        <f t="shared" si="1"/>
        <v>Ilang malaking titik ang mayroon sa salitang \"Ormoc\"?</v>
      </c>
      <c r="E95" s="14">
        <f t="shared" si="2"/>
        <v>1</v>
      </c>
      <c r="F95" s="14" t="s">
        <v>1170</v>
      </c>
      <c r="G95" s="14" t="s">
        <v>1171</v>
      </c>
      <c r="H95" s="2" t="s">
        <v>1172</v>
      </c>
      <c r="I95" s="15">
        <v>1</v>
      </c>
    </row>
    <row r="96" spans="1:9" ht="13" x14ac:dyDescent="0.15">
      <c r="A96" s="2" t="s">
        <v>512</v>
      </c>
      <c r="B96" s="14" t="s">
        <v>983</v>
      </c>
      <c r="C96" s="14" t="str">
        <f t="shared" si="0"/>
        <v>How many uppercase letters are in the word \"Qur’an\"?</v>
      </c>
      <c r="D96" s="14" t="str">
        <f t="shared" si="1"/>
        <v>Ilang malaking titik ang mayroon sa salitang \"Qur’an\"?</v>
      </c>
      <c r="E96" s="14">
        <f t="shared" si="2"/>
        <v>1</v>
      </c>
      <c r="F96" s="14" t="s">
        <v>1173</v>
      </c>
      <c r="G96" s="14" t="s">
        <v>1174</v>
      </c>
      <c r="H96" s="2" t="s">
        <v>1175</v>
      </c>
      <c r="I96" s="15">
        <v>1</v>
      </c>
    </row>
    <row r="97" spans="1:9" ht="13" x14ac:dyDescent="0.15">
      <c r="A97" s="2" t="s">
        <v>512</v>
      </c>
      <c r="B97" s="14" t="s">
        <v>983</v>
      </c>
      <c r="C97" s="14" t="str">
        <f t="shared" si="0"/>
        <v>How many uppercase letters are in the word \"Pebo\"?</v>
      </c>
      <c r="D97" s="14" t="str">
        <f t="shared" si="1"/>
        <v>Ilang malaking titik ang mayroon sa salitang \"Pebo\"?</v>
      </c>
      <c r="E97" s="14">
        <f t="shared" si="2"/>
        <v>1</v>
      </c>
      <c r="F97" s="14" t="s">
        <v>1176</v>
      </c>
      <c r="G97" s="14" t="s">
        <v>1177</v>
      </c>
      <c r="H97" s="2" t="s">
        <v>1178</v>
      </c>
      <c r="I97" s="15">
        <v>1</v>
      </c>
    </row>
    <row r="98" spans="1:9" ht="13" x14ac:dyDescent="0.15">
      <c r="A98" s="2" t="s">
        <v>512</v>
      </c>
      <c r="B98" s="14" t="s">
        <v>983</v>
      </c>
      <c r="C98" s="14" t="str">
        <f t="shared" si="0"/>
        <v>How many uppercase letters are in the word \"Basta!\"?</v>
      </c>
      <c r="D98" s="14" t="str">
        <f t="shared" si="1"/>
        <v>Ilang malaking titik ang mayroon sa salitang \"Basta!\"?</v>
      </c>
      <c r="E98" s="14">
        <f t="shared" si="2"/>
        <v>1</v>
      </c>
      <c r="F98" s="14" t="s">
        <v>1179</v>
      </c>
      <c r="G98" s="14" t="s">
        <v>1180</v>
      </c>
      <c r="H98" s="2" t="s">
        <v>1181</v>
      </c>
      <c r="I98" s="15">
        <v>1</v>
      </c>
    </row>
    <row r="99" spans="1:9" ht="13" x14ac:dyDescent="0.15">
      <c r="A99" s="2" t="s">
        <v>512</v>
      </c>
      <c r="B99" s="14" t="s">
        <v>983</v>
      </c>
      <c r="C99" s="14" t="str">
        <f t="shared" si="0"/>
        <v>How many uppercase letters are in the word \"Persia\"?</v>
      </c>
      <c r="D99" s="14" t="str">
        <f t="shared" si="1"/>
        <v>Ilang malaking titik ang mayroon sa salitang \"Persia\"?</v>
      </c>
      <c r="E99" s="14">
        <f t="shared" si="2"/>
        <v>1</v>
      </c>
      <c r="F99" s="14" t="s">
        <v>1182</v>
      </c>
      <c r="G99" s="14" t="s">
        <v>1183</v>
      </c>
      <c r="H99" s="2" t="s">
        <v>1184</v>
      </c>
      <c r="I99" s="15">
        <v>1</v>
      </c>
    </row>
    <row r="100" spans="1:9" ht="13" x14ac:dyDescent="0.15">
      <c r="A100" s="2" t="s">
        <v>512</v>
      </c>
      <c r="B100" s="14" t="s">
        <v>983</v>
      </c>
      <c r="C100" s="14" t="str">
        <f t="shared" si="0"/>
        <v>How many uppercase letters are in the word \"bitamina B komplex\"?</v>
      </c>
      <c r="D100" s="14" t="str">
        <f t="shared" si="1"/>
        <v>Ilang malaking titik ang mayroon sa salitang \"bitamina B komplex\"?</v>
      </c>
      <c r="E100" s="14">
        <f t="shared" si="2"/>
        <v>1</v>
      </c>
      <c r="F100" s="14" t="s">
        <v>1185</v>
      </c>
      <c r="G100" s="14" t="s">
        <v>1186</v>
      </c>
      <c r="H100" s="2" t="s">
        <v>1187</v>
      </c>
      <c r="I100" s="15">
        <v>1</v>
      </c>
    </row>
    <row r="101" spans="1:9" ht="13" x14ac:dyDescent="0.15">
      <c r="A101" s="2" t="s">
        <v>512</v>
      </c>
      <c r="B101" s="14" t="s">
        <v>983</v>
      </c>
      <c r="C101" s="14" t="str">
        <f t="shared" si="0"/>
        <v>How many uppercase letters are in the word \"Kidapawan\"?</v>
      </c>
      <c r="D101" s="14" t="str">
        <f t="shared" si="1"/>
        <v>Ilang malaking titik ang mayroon sa salitang \"Kidapawan\"?</v>
      </c>
      <c r="E101" s="14">
        <f t="shared" si="2"/>
        <v>1</v>
      </c>
      <c r="F101" s="14" t="s">
        <v>1188</v>
      </c>
      <c r="G101" s="14" t="s">
        <v>1189</v>
      </c>
      <c r="H101" s="2" t="s">
        <v>1190</v>
      </c>
      <c r="I101" s="15">
        <v>1</v>
      </c>
    </row>
    <row r="102" spans="1:9" ht="13" x14ac:dyDescent="0.15">
      <c r="A102" s="2" t="s">
        <v>512</v>
      </c>
      <c r="B102" s="14" t="s">
        <v>983</v>
      </c>
      <c r="C102" s="14" t="str">
        <f t="shared" si="0"/>
        <v>How many uppercase letters are in the word \"Tagadoongan\"?</v>
      </c>
      <c r="D102" s="14" t="str">
        <f t="shared" si="1"/>
        <v>Ilang malaking titik ang mayroon sa salitang \"Tagadoongan\"?</v>
      </c>
      <c r="E102" s="14">
        <f t="shared" si="2"/>
        <v>1</v>
      </c>
      <c r="F102" s="14" t="s">
        <v>1191</v>
      </c>
      <c r="G102" s="14" t="s">
        <v>1192</v>
      </c>
      <c r="H102" s="2" t="s">
        <v>1193</v>
      </c>
      <c r="I102" s="15">
        <v>1</v>
      </c>
    </row>
    <row r="103" spans="1:9" ht="13" x14ac:dyDescent="0.15">
      <c r="A103" s="2" t="s">
        <v>512</v>
      </c>
      <c r="B103" s="14" t="s">
        <v>983</v>
      </c>
      <c r="C103" s="14" t="str">
        <f t="shared" si="0"/>
        <v>How many uppercase letters are in the word \"Oe\"?</v>
      </c>
      <c r="D103" s="14" t="str">
        <f t="shared" si="1"/>
        <v>Ilang malaking titik ang mayroon sa salitang \"Oe\"?</v>
      </c>
      <c r="E103" s="14">
        <f t="shared" si="2"/>
        <v>1</v>
      </c>
      <c r="F103" s="14" t="s">
        <v>1194</v>
      </c>
      <c r="G103" s="14" t="s">
        <v>1195</v>
      </c>
      <c r="H103" s="2" t="s">
        <v>1196</v>
      </c>
      <c r="I103" s="15">
        <v>1</v>
      </c>
    </row>
    <row r="104" spans="1:9" ht="13" x14ac:dyDescent="0.15">
      <c r="A104" s="2" t="s">
        <v>512</v>
      </c>
      <c r="B104" s="14" t="s">
        <v>983</v>
      </c>
      <c r="C104" s="14" t="str">
        <f t="shared" si="0"/>
        <v>How many uppercase letters are in the word \"Maccabee\"?</v>
      </c>
      <c r="D104" s="14" t="str">
        <f t="shared" si="1"/>
        <v>Ilang malaking titik ang mayroon sa salitang \"Maccabee\"?</v>
      </c>
      <c r="E104" s="14">
        <f t="shared" si="2"/>
        <v>1</v>
      </c>
      <c r="F104" s="14" t="s">
        <v>1197</v>
      </c>
      <c r="G104" s="14" t="s">
        <v>1198</v>
      </c>
      <c r="H104" s="2" t="s">
        <v>1199</v>
      </c>
      <c r="I104" s="15">
        <v>1</v>
      </c>
    </row>
    <row r="105" spans="1:9" ht="13" x14ac:dyDescent="0.15">
      <c r="A105" s="2" t="s">
        <v>512</v>
      </c>
      <c r="B105" s="14" t="s">
        <v>983</v>
      </c>
      <c r="C105" s="14" t="str">
        <f t="shared" si="0"/>
        <v>How many uppercase letters are in the word \"O\"?</v>
      </c>
      <c r="D105" s="14" t="str">
        <f t="shared" si="1"/>
        <v>Ilang malaking titik ang mayroon sa salitang \"O\"?</v>
      </c>
      <c r="E105" s="14">
        <f t="shared" si="2"/>
        <v>1</v>
      </c>
      <c r="F105" s="14" t="s">
        <v>1200</v>
      </c>
      <c r="G105" s="14" t="s">
        <v>1201</v>
      </c>
      <c r="H105" s="2" t="s">
        <v>549</v>
      </c>
      <c r="I105" s="15">
        <v>1</v>
      </c>
    </row>
    <row r="106" spans="1:9" ht="13" x14ac:dyDescent="0.15">
      <c r="A106" s="2" t="s">
        <v>512</v>
      </c>
      <c r="B106" s="14" t="s">
        <v>983</v>
      </c>
      <c r="C106" s="14" t="str">
        <f t="shared" si="0"/>
        <v>How many uppercase letters are in the word \"Muse\"?</v>
      </c>
      <c r="D106" s="14" t="str">
        <f t="shared" si="1"/>
        <v>Ilang malaking titik ang mayroon sa salitang \"Muse\"?</v>
      </c>
      <c r="E106" s="14">
        <f t="shared" si="2"/>
        <v>1</v>
      </c>
      <c r="F106" s="14" t="s">
        <v>1202</v>
      </c>
      <c r="G106" s="14" t="s">
        <v>1203</v>
      </c>
      <c r="H106" s="2" t="s">
        <v>1204</v>
      </c>
      <c r="I106" s="15">
        <v>1</v>
      </c>
    </row>
    <row r="107" spans="1:9" ht="13" x14ac:dyDescent="0.15">
      <c r="A107" s="2" t="s">
        <v>512</v>
      </c>
      <c r="B107" s="14" t="s">
        <v>983</v>
      </c>
      <c r="C107" s="14" t="str">
        <f t="shared" si="0"/>
        <v>How many uppercase letters are in the word \"Sidapa\"?</v>
      </c>
      <c r="D107" s="14" t="str">
        <f t="shared" si="1"/>
        <v>Ilang malaking titik ang mayroon sa salitang \"Sidapa\"?</v>
      </c>
      <c r="E107" s="14">
        <f t="shared" si="2"/>
        <v>1</v>
      </c>
      <c r="F107" s="14" t="s">
        <v>1205</v>
      </c>
      <c r="G107" s="14" t="s">
        <v>1206</v>
      </c>
      <c r="H107" s="2" t="s">
        <v>1207</v>
      </c>
      <c r="I107" s="15">
        <v>1</v>
      </c>
    </row>
    <row r="108" spans="1:9" ht="13" x14ac:dyDescent="0.15">
      <c r="A108" s="2" t="s">
        <v>512</v>
      </c>
      <c r="B108" s="14" t="s">
        <v>983</v>
      </c>
      <c r="C108" s="14" t="str">
        <f t="shared" si="0"/>
        <v>How many uppercase letters are in the word \"Peter\"?</v>
      </c>
      <c r="D108" s="14" t="str">
        <f t="shared" si="1"/>
        <v>Ilang malaking titik ang mayroon sa salitang \"Peter\"?</v>
      </c>
      <c r="E108" s="14">
        <f t="shared" si="2"/>
        <v>1</v>
      </c>
      <c r="F108" s="14" t="s">
        <v>1208</v>
      </c>
      <c r="G108" s="14" t="s">
        <v>1209</v>
      </c>
      <c r="H108" s="2" t="s">
        <v>1210</v>
      </c>
      <c r="I108" s="15">
        <v>1</v>
      </c>
    </row>
    <row r="109" spans="1:9" ht="13" x14ac:dyDescent="0.15">
      <c r="A109" s="2" t="s">
        <v>512</v>
      </c>
      <c r="B109" s="14" t="s">
        <v>983</v>
      </c>
      <c r="C109" s="14" t="str">
        <f t="shared" si="0"/>
        <v>How many uppercase letters are in the word \"Atlantic\"?</v>
      </c>
      <c r="D109" s="14" t="str">
        <f t="shared" si="1"/>
        <v>Ilang malaking titik ang mayroon sa salitang \"Atlantic\"?</v>
      </c>
      <c r="E109" s="14">
        <f t="shared" si="2"/>
        <v>1</v>
      </c>
      <c r="F109" s="14" t="s">
        <v>1211</v>
      </c>
      <c r="G109" s="14" t="s">
        <v>1212</v>
      </c>
      <c r="H109" s="2" t="s">
        <v>1213</v>
      </c>
      <c r="I109" s="15">
        <v>1</v>
      </c>
    </row>
    <row r="110" spans="1:9" ht="13" x14ac:dyDescent="0.15">
      <c r="A110" s="2" t="s">
        <v>512</v>
      </c>
      <c r="B110" s="14" t="s">
        <v>983</v>
      </c>
      <c r="C110" s="14" t="str">
        <f t="shared" si="0"/>
        <v>How many uppercase letters are in the word \"Hellenist\"?</v>
      </c>
      <c r="D110" s="14" t="str">
        <f t="shared" si="1"/>
        <v>Ilang malaking titik ang mayroon sa salitang \"Hellenist\"?</v>
      </c>
      <c r="E110" s="14">
        <f t="shared" si="2"/>
        <v>1</v>
      </c>
      <c r="F110" s="14" t="s">
        <v>1214</v>
      </c>
      <c r="G110" s="14" t="s">
        <v>1215</v>
      </c>
      <c r="H110" s="2" t="s">
        <v>1216</v>
      </c>
      <c r="I110" s="15">
        <v>1</v>
      </c>
    </row>
    <row r="111" spans="1:9" ht="13" x14ac:dyDescent="0.15">
      <c r="A111" s="2" t="s">
        <v>512</v>
      </c>
      <c r="B111" s="14" t="s">
        <v>983</v>
      </c>
      <c r="C111" s="14" t="str">
        <f t="shared" si="0"/>
        <v>How many uppercase letters are in the word \"Procrustean\"?</v>
      </c>
      <c r="D111" s="14" t="str">
        <f t="shared" si="1"/>
        <v>Ilang malaking titik ang mayroon sa salitang \"Procrustean\"?</v>
      </c>
      <c r="E111" s="14">
        <f t="shared" si="2"/>
        <v>1</v>
      </c>
      <c r="F111" s="14" t="s">
        <v>1217</v>
      </c>
      <c r="G111" s="14" t="s">
        <v>1218</v>
      </c>
      <c r="H111" s="2" t="s">
        <v>1219</v>
      </c>
      <c r="I111" s="15">
        <v>1</v>
      </c>
    </row>
    <row r="112" spans="1:9" ht="13" x14ac:dyDescent="0.15">
      <c r="A112" s="2" t="s">
        <v>512</v>
      </c>
      <c r="B112" s="14" t="s">
        <v>983</v>
      </c>
      <c r="C112" s="14" t="str">
        <f t="shared" si="0"/>
        <v>How many uppercase letters are in the word \"Gaygayoma\"?</v>
      </c>
      <c r="D112" s="14" t="str">
        <f t="shared" si="1"/>
        <v>Ilang malaking titik ang mayroon sa salitang \"Gaygayoma\"?</v>
      </c>
      <c r="E112" s="14">
        <f t="shared" si="2"/>
        <v>1</v>
      </c>
      <c r="F112" s="14" t="s">
        <v>1220</v>
      </c>
      <c r="G112" s="14" t="s">
        <v>1221</v>
      </c>
      <c r="H112" s="2" t="s">
        <v>1222</v>
      </c>
      <c r="I112" s="15">
        <v>1</v>
      </c>
    </row>
    <row r="113" spans="1:9" ht="13" x14ac:dyDescent="0.15">
      <c r="A113" s="2" t="s">
        <v>512</v>
      </c>
      <c r="B113" s="14" t="s">
        <v>983</v>
      </c>
      <c r="C113" s="14" t="str">
        <f t="shared" si="0"/>
        <v>How many uppercase letters are in the word \"Trojan\"?</v>
      </c>
      <c r="D113" s="14" t="str">
        <f t="shared" si="1"/>
        <v>Ilang malaking titik ang mayroon sa salitang \"Trojan\"?</v>
      </c>
      <c r="E113" s="14">
        <f t="shared" si="2"/>
        <v>1</v>
      </c>
      <c r="F113" s="14" t="s">
        <v>1223</v>
      </c>
      <c r="G113" s="14" t="s">
        <v>1224</v>
      </c>
      <c r="H113" s="2" t="s">
        <v>1225</v>
      </c>
      <c r="I113" s="15">
        <v>1</v>
      </c>
    </row>
    <row r="114" spans="1:9" ht="13" x14ac:dyDescent="0.15">
      <c r="A114" s="2" t="s">
        <v>512</v>
      </c>
      <c r="B114" s="14" t="s">
        <v>983</v>
      </c>
      <c r="C114" s="14" t="str">
        <f t="shared" si="0"/>
        <v>How many uppercase letters are in the word \"Ligones\"?</v>
      </c>
      <c r="D114" s="14" t="str">
        <f t="shared" si="1"/>
        <v>Ilang malaking titik ang mayroon sa salitang \"Ligones\"?</v>
      </c>
      <c r="E114" s="14">
        <f t="shared" si="2"/>
        <v>1</v>
      </c>
      <c r="F114" s="14" t="s">
        <v>1226</v>
      </c>
      <c r="G114" s="14" t="s">
        <v>1227</v>
      </c>
      <c r="H114" s="2" t="s">
        <v>1228</v>
      </c>
      <c r="I114" s="15">
        <v>1</v>
      </c>
    </row>
    <row r="115" spans="1:9" ht="13" x14ac:dyDescent="0.15">
      <c r="A115" s="2" t="s">
        <v>512</v>
      </c>
      <c r="B115" s="14" t="s">
        <v>983</v>
      </c>
      <c r="C115" s="14" t="str">
        <f t="shared" si="0"/>
        <v>How many uppercase letters are in the word \"Shanghai\"?</v>
      </c>
      <c r="D115" s="14" t="str">
        <f t="shared" si="1"/>
        <v>Ilang malaking titik ang mayroon sa salitang \"Shanghai\"?</v>
      </c>
      <c r="E115" s="14">
        <f t="shared" si="2"/>
        <v>1</v>
      </c>
      <c r="F115" s="14" t="s">
        <v>1229</v>
      </c>
      <c r="G115" s="14" t="s">
        <v>1230</v>
      </c>
      <c r="H115" s="2" t="s">
        <v>1231</v>
      </c>
      <c r="I115" s="15">
        <v>1</v>
      </c>
    </row>
    <row r="116" spans="1:9" ht="13" x14ac:dyDescent="0.15">
      <c r="A116" s="2" t="s">
        <v>512</v>
      </c>
      <c r="B116" s="14" t="s">
        <v>983</v>
      </c>
      <c r="C116" s="14" t="str">
        <f t="shared" si="0"/>
        <v>How many uppercase letters are in the word \"Malyari\"?</v>
      </c>
      <c r="D116" s="14" t="str">
        <f t="shared" si="1"/>
        <v>Ilang malaking titik ang mayroon sa salitang \"Malyari\"?</v>
      </c>
      <c r="E116" s="14">
        <f t="shared" si="2"/>
        <v>1</v>
      </c>
      <c r="F116" s="14" t="s">
        <v>1232</v>
      </c>
      <c r="G116" s="14" t="s">
        <v>1233</v>
      </c>
      <c r="H116" s="2" t="s">
        <v>1234</v>
      </c>
      <c r="I116" s="15">
        <v>1</v>
      </c>
    </row>
    <row r="117" spans="1:9" ht="13" x14ac:dyDescent="0.15">
      <c r="A117" s="2" t="s">
        <v>512</v>
      </c>
      <c r="B117" s="14" t="s">
        <v>983</v>
      </c>
      <c r="C117" s="14" t="str">
        <f t="shared" si="0"/>
        <v>How many uppercase letters are in the word \"Eba\"?</v>
      </c>
      <c r="D117" s="14" t="str">
        <f t="shared" si="1"/>
        <v>Ilang malaking titik ang mayroon sa salitang \"Eba\"?</v>
      </c>
      <c r="E117" s="14">
        <f t="shared" si="2"/>
        <v>1</v>
      </c>
      <c r="F117" s="14" t="s">
        <v>1235</v>
      </c>
      <c r="G117" s="14" t="s">
        <v>1236</v>
      </c>
      <c r="H117" s="2" t="s">
        <v>1237</v>
      </c>
      <c r="I117" s="15">
        <v>1</v>
      </c>
    </row>
    <row r="118" spans="1:9" ht="13" x14ac:dyDescent="0.15">
      <c r="A118" s="2" t="s">
        <v>512</v>
      </c>
      <c r="B118" s="14" t="s">
        <v>983</v>
      </c>
      <c r="C118" s="14" t="str">
        <f t="shared" si="0"/>
        <v>How many uppercase letters are in the word \"Idianale\"?</v>
      </c>
      <c r="D118" s="14" t="str">
        <f t="shared" si="1"/>
        <v>Ilang malaking titik ang mayroon sa salitang \"Idianale\"?</v>
      </c>
      <c r="E118" s="14">
        <f t="shared" si="2"/>
        <v>1</v>
      </c>
      <c r="F118" s="14" t="s">
        <v>1238</v>
      </c>
      <c r="G118" s="14" t="s">
        <v>1239</v>
      </c>
      <c r="H118" s="2" t="s">
        <v>1240</v>
      </c>
      <c r="I118" s="15">
        <v>1</v>
      </c>
    </row>
    <row r="119" spans="1:9" ht="13" x14ac:dyDescent="0.15">
      <c r="A119" s="2" t="s">
        <v>512</v>
      </c>
      <c r="B119" s="14" t="s">
        <v>983</v>
      </c>
      <c r="C119" s="14" t="str">
        <f t="shared" si="0"/>
        <v>How many uppercase letters are in the word \"Azteka\"?</v>
      </c>
      <c r="D119" s="14" t="str">
        <f t="shared" si="1"/>
        <v>Ilang malaking titik ang mayroon sa salitang \"Azteka\"?</v>
      </c>
      <c r="E119" s="14">
        <f t="shared" si="2"/>
        <v>1</v>
      </c>
      <c r="F119" s="14" t="s">
        <v>1241</v>
      </c>
      <c r="G119" s="14" t="s">
        <v>1242</v>
      </c>
      <c r="H119" s="2" t="s">
        <v>1243</v>
      </c>
      <c r="I119" s="15">
        <v>1</v>
      </c>
    </row>
    <row r="120" spans="1:9" ht="13" x14ac:dyDescent="0.15">
      <c r="A120" s="2" t="s">
        <v>512</v>
      </c>
      <c r="B120" s="14" t="s">
        <v>983</v>
      </c>
      <c r="C120" s="14" t="str">
        <f t="shared" si="0"/>
        <v>How many uppercase letters are in the word \"Gambia\"?</v>
      </c>
      <c r="D120" s="14" t="str">
        <f t="shared" si="1"/>
        <v>Ilang malaking titik ang mayroon sa salitang \"Gambia\"?</v>
      </c>
      <c r="E120" s="14">
        <f t="shared" si="2"/>
        <v>1</v>
      </c>
      <c r="F120" s="14" t="s">
        <v>1244</v>
      </c>
      <c r="G120" s="14" t="s">
        <v>1245</v>
      </c>
      <c r="H120" s="2" t="s">
        <v>1246</v>
      </c>
      <c r="I120" s="15">
        <v>1</v>
      </c>
    </row>
    <row r="121" spans="1:9" ht="13" x14ac:dyDescent="0.15">
      <c r="A121" s="2" t="s">
        <v>512</v>
      </c>
      <c r="B121" s="14" t="s">
        <v>983</v>
      </c>
      <c r="C121" s="14" t="str">
        <f t="shared" si="0"/>
        <v>How many uppercase letters are in the word \"Corinthians\"?</v>
      </c>
      <c r="D121" s="14" t="str">
        <f t="shared" si="1"/>
        <v>Ilang malaking titik ang mayroon sa salitang \"Corinthians\"?</v>
      </c>
      <c r="E121" s="14">
        <f t="shared" si="2"/>
        <v>1</v>
      </c>
      <c r="F121" s="14" t="s">
        <v>1247</v>
      </c>
      <c r="G121" s="14" t="s">
        <v>1248</v>
      </c>
      <c r="H121" s="2" t="s">
        <v>1249</v>
      </c>
      <c r="I121" s="15">
        <v>1</v>
      </c>
    </row>
    <row r="122" spans="1:9" ht="13" x14ac:dyDescent="0.15">
      <c r="A122" s="2" t="s">
        <v>512</v>
      </c>
      <c r="B122" s="14" t="s">
        <v>983</v>
      </c>
      <c r="C122" s="14" t="str">
        <f t="shared" si="0"/>
        <v>How many uppercase letters are in the word \"Jerico\"?</v>
      </c>
      <c r="D122" s="14" t="str">
        <f t="shared" si="1"/>
        <v>Ilang malaking titik ang mayroon sa salitang \"Jerico\"?</v>
      </c>
      <c r="E122" s="14">
        <f t="shared" si="2"/>
        <v>1</v>
      </c>
      <c r="F122" s="14" t="s">
        <v>1250</v>
      </c>
      <c r="G122" s="14" t="s">
        <v>1251</v>
      </c>
      <c r="H122" s="2" t="s">
        <v>1252</v>
      </c>
      <c r="I122" s="15">
        <v>1</v>
      </c>
    </row>
    <row r="123" spans="1:9" ht="13" x14ac:dyDescent="0.15">
      <c r="A123" s="2" t="s">
        <v>512</v>
      </c>
      <c r="B123" s="14" t="s">
        <v>983</v>
      </c>
      <c r="C123" s="14" t="str">
        <f t="shared" si="0"/>
        <v>How many uppercase letters are in the word \"Kaaba\"?</v>
      </c>
      <c r="D123" s="14" t="str">
        <f t="shared" si="1"/>
        <v>Ilang malaking titik ang mayroon sa salitang \"Kaaba\"?</v>
      </c>
      <c r="E123" s="14">
        <f t="shared" si="2"/>
        <v>1</v>
      </c>
      <c r="F123" s="14" t="s">
        <v>1253</v>
      </c>
      <c r="G123" s="14" t="s">
        <v>1254</v>
      </c>
      <c r="H123" s="2" t="s">
        <v>1255</v>
      </c>
      <c r="I123" s="15">
        <v>1</v>
      </c>
    </row>
    <row r="124" spans="1:9" ht="13" x14ac:dyDescent="0.15">
      <c r="A124" s="2" t="s">
        <v>512</v>
      </c>
      <c r="B124" s="14" t="s">
        <v>983</v>
      </c>
      <c r="C124" s="14" t="str">
        <f t="shared" si="0"/>
        <v>How many uppercase letters are in the word \"Parnassus\"?</v>
      </c>
      <c r="D124" s="14" t="str">
        <f t="shared" si="1"/>
        <v>Ilang malaking titik ang mayroon sa salitang \"Parnassus\"?</v>
      </c>
      <c r="E124" s="14">
        <f t="shared" si="2"/>
        <v>1</v>
      </c>
      <c r="F124" s="14" t="s">
        <v>1256</v>
      </c>
      <c r="G124" s="14" t="s">
        <v>1257</v>
      </c>
      <c r="H124" s="2" t="s">
        <v>1258</v>
      </c>
      <c r="I124" s="15">
        <v>1</v>
      </c>
    </row>
    <row r="125" spans="1:9" ht="13" x14ac:dyDescent="0.15">
      <c r="A125" s="2" t="s">
        <v>512</v>
      </c>
      <c r="B125" s="14" t="s">
        <v>983</v>
      </c>
      <c r="C125" s="14" t="str">
        <f t="shared" si="0"/>
        <v>How many uppercase letters are in the word \"Arachnida\"?</v>
      </c>
      <c r="D125" s="14" t="str">
        <f t="shared" si="1"/>
        <v>Ilang malaking titik ang mayroon sa salitang \"Arachnida\"?</v>
      </c>
      <c r="E125" s="14">
        <f t="shared" si="2"/>
        <v>1</v>
      </c>
      <c r="F125" s="14" t="s">
        <v>1259</v>
      </c>
      <c r="G125" s="14" t="s">
        <v>1260</v>
      </c>
      <c r="H125" s="2" t="s">
        <v>1261</v>
      </c>
      <c r="I125" s="15">
        <v>1</v>
      </c>
    </row>
    <row r="126" spans="1:9" ht="13" x14ac:dyDescent="0.15">
      <c r="A126" s="2" t="s">
        <v>512</v>
      </c>
      <c r="B126" s="14" t="s">
        <v>983</v>
      </c>
      <c r="C126" s="14" t="str">
        <f t="shared" si="0"/>
        <v>How many uppercase letters are in the word \"Esperanto\"?</v>
      </c>
      <c r="D126" s="14" t="str">
        <f t="shared" si="1"/>
        <v>Ilang malaking titik ang mayroon sa salitang \"Esperanto\"?</v>
      </c>
      <c r="E126" s="14">
        <f t="shared" si="2"/>
        <v>1</v>
      </c>
      <c r="F126" s="14" t="s">
        <v>1262</v>
      </c>
      <c r="G126" s="14" t="s">
        <v>1263</v>
      </c>
      <c r="H126" s="2" t="s">
        <v>1264</v>
      </c>
      <c r="I126" s="15">
        <v>1</v>
      </c>
    </row>
    <row r="127" spans="1:9" ht="13" x14ac:dyDescent="0.15">
      <c r="A127" s="2" t="s">
        <v>512</v>
      </c>
      <c r="B127" s="14" t="s">
        <v>983</v>
      </c>
      <c r="C127" s="14" t="str">
        <f t="shared" si="0"/>
        <v>How many uppercase letters are in the word \"Tripoli\"?</v>
      </c>
      <c r="D127" s="14" t="str">
        <f t="shared" si="1"/>
        <v>Ilang malaking titik ang mayroon sa salitang \"Tripoli\"?</v>
      </c>
      <c r="E127" s="14">
        <f t="shared" si="2"/>
        <v>1</v>
      </c>
      <c r="F127" s="14" t="s">
        <v>1265</v>
      </c>
      <c r="G127" s="14" t="s">
        <v>1266</v>
      </c>
      <c r="H127" s="2" t="s">
        <v>1267</v>
      </c>
      <c r="I127" s="15">
        <v>1</v>
      </c>
    </row>
    <row r="128" spans="1:9" ht="13" x14ac:dyDescent="0.15">
      <c r="A128" s="2" t="s">
        <v>512</v>
      </c>
      <c r="B128" s="14" t="s">
        <v>983</v>
      </c>
      <c r="C128" s="14" t="str">
        <f t="shared" si="0"/>
        <v>How many uppercase letters are in the word \"Maddukayang\"?</v>
      </c>
      <c r="D128" s="14" t="str">
        <f t="shared" si="1"/>
        <v>Ilang malaking titik ang mayroon sa salitang \"Maddukayang\"?</v>
      </c>
      <c r="E128" s="14">
        <f t="shared" si="2"/>
        <v>1</v>
      </c>
      <c r="F128" s="14" t="s">
        <v>1268</v>
      </c>
      <c r="G128" s="14" t="s">
        <v>1269</v>
      </c>
      <c r="H128" s="2" t="s">
        <v>1270</v>
      </c>
      <c r="I128" s="15">
        <v>1</v>
      </c>
    </row>
    <row r="129" spans="1:9" ht="13" x14ac:dyDescent="0.15">
      <c r="A129" s="2" t="s">
        <v>512</v>
      </c>
      <c r="B129" s="14" t="s">
        <v>983</v>
      </c>
      <c r="C129" s="14" t="str">
        <f t="shared" si="0"/>
        <v>How many uppercase letters are in the word \"Goodbye!\"?</v>
      </c>
      <c r="D129" s="14" t="str">
        <f t="shared" si="1"/>
        <v>Ilang malaking titik ang mayroon sa salitang \"Goodbye!\"?</v>
      </c>
      <c r="E129" s="14">
        <f t="shared" si="2"/>
        <v>1</v>
      </c>
      <c r="F129" s="14" t="s">
        <v>1271</v>
      </c>
      <c r="G129" s="14" t="s">
        <v>1272</v>
      </c>
      <c r="H129" s="2" t="s">
        <v>1273</v>
      </c>
      <c r="I129" s="15">
        <v>1</v>
      </c>
    </row>
    <row r="130" spans="1:9" ht="13" x14ac:dyDescent="0.15">
      <c r="A130" s="2" t="s">
        <v>512</v>
      </c>
      <c r="B130" s="14" t="s">
        <v>983</v>
      </c>
      <c r="C130" s="14" t="str">
        <f t="shared" si="0"/>
        <v>How many uppercase letters are in the word \"Klaro!\"?</v>
      </c>
      <c r="D130" s="14" t="str">
        <f t="shared" si="1"/>
        <v>Ilang malaking titik ang mayroon sa salitang \"Klaro!\"?</v>
      </c>
      <c r="E130" s="14">
        <f t="shared" si="2"/>
        <v>1</v>
      </c>
      <c r="F130" s="14" t="s">
        <v>1274</v>
      </c>
      <c r="G130" s="14" t="s">
        <v>1275</v>
      </c>
      <c r="H130" s="2" t="s">
        <v>1276</v>
      </c>
      <c r="I130" s="15">
        <v>1</v>
      </c>
    </row>
    <row r="131" spans="1:9" ht="13" x14ac:dyDescent="0.15">
      <c r="A131" s="2" t="s">
        <v>512</v>
      </c>
      <c r="B131" s="14" t="s">
        <v>983</v>
      </c>
      <c r="C131" s="14" t="str">
        <f t="shared" si="0"/>
        <v>How many uppercase letters are in the word \"Kalanguya\"?</v>
      </c>
      <c r="D131" s="14" t="str">
        <f t="shared" si="1"/>
        <v>Ilang malaking titik ang mayroon sa salitang \"Kalanguya\"?</v>
      </c>
      <c r="E131" s="14">
        <f t="shared" si="2"/>
        <v>1</v>
      </c>
      <c r="F131" s="14" t="s">
        <v>1277</v>
      </c>
      <c r="G131" s="14" t="s">
        <v>1278</v>
      </c>
      <c r="H131" s="2" t="s">
        <v>1279</v>
      </c>
      <c r="I131" s="15">
        <v>1</v>
      </c>
    </row>
    <row r="132" spans="1:9" ht="13" x14ac:dyDescent="0.15">
      <c r="A132" s="2" t="s">
        <v>512</v>
      </c>
      <c r="B132" s="14" t="s">
        <v>983</v>
      </c>
      <c r="C132" s="14" t="str">
        <f t="shared" si="0"/>
        <v>How many uppercase letters are in the word \"Freemasonry\"?</v>
      </c>
      <c r="D132" s="14" t="str">
        <f t="shared" si="1"/>
        <v>Ilang malaking titik ang mayroon sa salitang \"Freemasonry\"?</v>
      </c>
      <c r="E132" s="14">
        <f t="shared" si="2"/>
        <v>1</v>
      </c>
      <c r="F132" s="14" t="s">
        <v>1280</v>
      </c>
      <c r="G132" s="14" t="s">
        <v>1281</v>
      </c>
      <c r="H132" s="2" t="s">
        <v>1282</v>
      </c>
      <c r="I132" s="15">
        <v>1</v>
      </c>
    </row>
    <row r="133" spans="1:9" ht="13" x14ac:dyDescent="0.15">
      <c r="A133" s="2" t="s">
        <v>512</v>
      </c>
      <c r="B133" s="14" t="s">
        <v>983</v>
      </c>
      <c r="C133" s="14" t="str">
        <f t="shared" si="0"/>
        <v>How many uppercase letters are in the word \"Renasimyento\"?</v>
      </c>
      <c r="D133" s="14" t="str">
        <f t="shared" si="1"/>
        <v>Ilang malaking titik ang mayroon sa salitang \"Renasimyento\"?</v>
      </c>
      <c r="E133" s="14">
        <f t="shared" si="2"/>
        <v>1</v>
      </c>
      <c r="F133" s="14" t="s">
        <v>1283</v>
      </c>
      <c r="G133" s="14" t="s">
        <v>1284</v>
      </c>
      <c r="H133" s="2" t="s">
        <v>1285</v>
      </c>
      <c r="I133" s="15">
        <v>1</v>
      </c>
    </row>
    <row r="134" spans="1:9" ht="13" x14ac:dyDescent="0.15">
      <c r="A134" s="2" t="s">
        <v>512</v>
      </c>
      <c r="B134" s="14" t="s">
        <v>983</v>
      </c>
      <c r="C134" s="14" t="str">
        <f t="shared" si="0"/>
        <v>How many uppercase letters are in the word \"Indochina\"?</v>
      </c>
      <c r="D134" s="14" t="str">
        <f t="shared" si="1"/>
        <v>Ilang malaking titik ang mayroon sa salitang \"Indochina\"?</v>
      </c>
      <c r="E134" s="14">
        <f t="shared" si="2"/>
        <v>1</v>
      </c>
      <c r="F134" s="14" t="s">
        <v>1286</v>
      </c>
      <c r="G134" s="14" t="s">
        <v>1287</v>
      </c>
      <c r="H134" s="2" t="s">
        <v>1288</v>
      </c>
      <c r="I134" s="15">
        <v>1</v>
      </c>
    </row>
    <row r="135" spans="1:9" ht="13" x14ac:dyDescent="0.15">
      <c r="A135" s="2" t="s">
        <v>512</v>
      </c>
      <c r="B135" s="14" t="s">
        <v>983</v>
      </c>
      <c r="C135" s="14" t="str">
        <f t="shared" si="0"/>
        <v>How many uppercase letters are in the word \"Asyano\"?</v>
      </c>
      <c r="D135" s="14" t="str">
        <f t="shared" si="1"/>
        <v>Ilang malaking titik ang mayroon sa salitang \"Asyano\"?</v>
      </c>
      <c r="E135" s="14">
        <f t="shared" si="2"/>
        <v>1</v>
      </c>
      <c r="F135" s="14" t="s">
        <v>1289</v>
      </c>
      <c r="G135" s="14" t="s">
        <v>1290</v>
      </c>
      <c r="H135" s="2" t="s">
        <v>1291</v>
      </c>
      <c r="I135" s="15">
        <v>1</v>
      </c>
    </row>
    <row r="136" spans="1:9" ht="13" x14ac:dyDescent="0.15">
      <c r="A136" s="2" t="s">
        <v>512</v>
      </c>
      <c r="B136" s="14" t="s">
        <v>983</v>
      </c>
      <c r="C136" s="14" t="str">
        <f t="shared" si="0"/>
        <v>How many uppercase letters are in the word \"Styx\"?</v>
      </c>
      <c r="D136" s="14" t="str">
        <f t="shared" si="1"/>
        <v>Ilang malaking titik ang mayroon sa salitang \"Styx\"?</v>
      </c>
      <c r="E136" s="14">
        <f t="shared" si="2"/>
        <v>1</v>
      </c>
      <c r="F136" s="14" t="s">
        <v>1292</v>
      </c>
      <c r="G136" s="14" t="s">
        <v>1293</v>
      </c>
      <c r="H136" s="2" t="s">
        <v>1294</v>
      </c>
      <c r="I136" s="15">
        <v>1</v>
      </c>
    </row>
    <row r="137" spans="1:9" ht="13" x14ac:dyDescent="0.15">
      <c r="A137" s="2" t="s">
        <v>512</v>
      </c>
      <c r="B137" s="14" t="s">
        <v>983</v>
      </c>
      <c r="C137" s="14" t="str">
        <f t="shared" si="0"/>
        <v>How many uppercase letters are in the word \"Timbuktu\"?</v>
      </c>
      <c r="D137" s="14" t="str">
        <f t="shared" si="1"/>
        <v>Ilang malaking titik ang mayroon sa salitang \"Timbuktu\"?</v>
      </c>
      <c r="E137" s="14">
        <f t="shared" si="2"/>
        <v>1</v>
      </c>
      <c r="F137" s="14" t="s">
        <v>1295</v>
      </c>
      <c r="G137" s="14" t="s">
        <v>1296</v>
      </c>
      <c r="H137" s="2" t="s">
        <v>1297</v>
      </c>
      <c r="I137" s="15">
        <v>1</v>
      </c>
    </row>
    <row r="138" spans="1:9" ht="13" x14ac:dyDescent="0.15">
      <c r="A138" s="2" t="s">
        <v>512</v>
      </c>
      <c r="B138" s="14" t="s">
        <v>983</v>
      </c>
      <c r="C138" s="14" t="str">
        <f t="shared" si="0"/>
        <v>How many uppercase letters are in the word \"M\"?</v>
      </c>
      <c r="D138" s="14" t="str">
        <f t="shared" si="1"/>
        <v>Ilang malaking titik ang mayroon sa salitang \"M\"?</v>
      </c>
      <c r="E138" s="14">
        <f t="shared" si="2"/>
        <v>1</v>
      </c>
      <c r="F138" s="14" t="s">
        <v>1298</v>
      </c>
      <c r="G138" s="14" t="s">
        <v>1299</v>
      </c>
      <c r="H138" s="2" t="s">
        <v>1300</v>
      </c>
      <c r="I138" s="15">
        <v>1</v>
      </c>
    </row>
    <row r="139" spans="1:9" ht="13" x14ac:dyDescent="0.15">
      <c r="A139" s="2" t="s">
        <v>512</v>
      </c>
      <c r="B139" s="14" t="s">
        <v>983</v>
      </c>
      <c r="C139" s="14" t="str">
        <f t="shared" si="0"/>
        <v>How many uppercase letters are in the word \"Lupa\"?</v>
      </c>
      <c r="D139" s="14" t="str">
        <f t="shared" si="1"/>
        <v>Ilang malaking titik ang mayroon sa salitang \"Lupa\"?</v>
      </c>
      <c r="E139" s="14">
        <f t="shared" si="2"/>
        <v>1</v>
      </c>
      <c r="F139" s="14" t="s">
        <v>1301</v>
      </c>
      <c r="G139" s="14" t="s">
        <v>1302</v>
      </c>
      <c r="H139" s="2" t="s">
        <v>1303</v>
      </c>
      <c r="I139" s="15">
        <v>1</v>
      </c>
    </row>
    <row r="140" spans="1:9" ht="13" x14ac:dyDescent="0.15">
      <c r="A140" s="2" t="s">
        <v>512</v>
      </c>
      <c r="B140" s="14" t="s">
        <v>983</v>
      </c>
      <c r="C140" s="14" t="str">
        <f t="shared" si="0"/>
        <v>How many uppercase letters are in the word \"Fates\"?</v>
      </c>
      <c r="D140" s="14" t="str">
        <f t="shared" si="1"/>
        <v>Ilang malaking titik ang mayroon sa salitang \"Fates\"?</v>
      </c>
      <c r="E140" s="14">
        <f t="shared" si="2"/>
        <v>1</v>
      </c>
      <c r="F140" s="14" t="s">
        <v>1304</v>
      </c>
      <c r="G140" s="14" t="s">
        <v>1305</v>
      </c>
      <c r="H140" s="2" t="s">
        <v>1306</v>
      </c>
      <c r="I140" s="15">
        <v>1</v>
      </c>
    </row>
    <row r="141" spans="1:9" ht="13" x14ac:dyDescent="0.15">
      <c r="A141" s="2" t="s">
        <v>512</v>
      </c>
      <c r="B141" s="14" t="s">
        <v>983</v>
      </c>
      <c r="C141" s="14" t="str">
        <f t="shared" si="0"/>
        <v>How many uppercase letters are in the word \"Putangna!\"?</v>
      </c>
      <c r="D141" s="14" t="str">
        <f t="shared" si="1"/>
        <v>Ilang malaking titik ang mayroon sa salitang \"Putangna!\"?</v>
      </c>
      <c r="E141" s="14">
        <f t="shared" si="2"/>
        <v>1</v>
      </c>
      <c r="F141" s="14" t="s">
        <v>1307</v>
      </c>
      <c r="G141" s="14" t="s">
        <v>1308</v>
      </c>
      <c r="H141" s="2" t="s">
        <v>1309</v>
      </c>
      <c r="I141" s="15">
        <v>1</v>
      </c>
    </row>
    <row r="142" spans="1:9" ht="13" x14ac:dyDescent="0.15">
      <c r="A142" s="2" t="s">
        <v>512</v>
      </c>
      <c r="B142" s="14" t="s">
        <v>983</v>
      </c>
      <c r="C142" s="14" t="str">
        <f t="shared" si="0"/>
        <v>How many uppercase letters are in the word \"Sheba\"?</v>
      </c>
      <c r="D142" s="14" t="str">
        <f t="shared" si="1"/>
        <v>Ilang malaking titik ang mayroon sa salitang \"Sheba\"?</v>
      </c>
      <c r="E142" s="14">
        <f t="shared" si="2"/>
        <v>1</v>
      </c>
      <c r="F142" s="14" t="s">
        <v>1310</v>
      </c>
      <c r="G142" s="14" t="s">
        <v>1311</v>
      </c>
      <c r="H142" s="2" t="s">
        <v>1312</v>
      </c>
      <c r="I142" s="15">
        <v>1</v>
      </c>
    </row>
    <row r="143" spans="1:9" ht="13" x14ac:dyDescent="0.15">
      <c r="A143" s="2" t="s">
        <v>512</v>
      </c>
      <c r="B143" s="14" t="s">
        <v>983</v>
      </c>
      <c r="C143" s="14" t="str">
        <f t="shared" si="0"/>
        <v>How many uppercase letters are in the word \"Abril\"?</v>
      </c>
      <c r="D143" s="14" t="str">
        <f t="shared" si="1"/>
        <v>Ilang malaking titik ang mayroon sa salitang \"Abril\"?</v>
      </c>
      <c r="E143" s="14">
        <f t="shared" si="2"/>
        <v>1</v>
      </c>
      <c r="F143" s="14" t="s">
        <v>1313</v>
      </c>
      <c r="G143" s="14" t="s">
        <v>1314</v>
      </c>
      <c r="H143" s="2" t="s">
        <v>1315</v>
      </c>
      <c r="I143" s="15">
        <v>1</v>
      </c>
    </row>
    <row r="144" spans="1:9" ht="13" x14ac:dyDescent="0.15">
      <c r="A144" s="2" t="s">
        <v>512</v>
      </c>
      <c r="B144" s="14" t="s">
        <v>983</v>
      </c>
      <c r="C144" s="14" t="str">
        <f t="shared" si="0"/>
        <v>How many uppercase letters are in the word \"Po!\"?</v>
      </c>
      <c r="D144" s="14" t="str">
        <f t="shared" si="1"/>
        <v>Ilang malaking titik ang mayroon sa salitang \"Po!\"?</v>
      </c>
      <c r="E144" s="14">
        <f t="shared" si="2"/>
        <v>1</v>
      </c>
      <c r="F144" s="14" t="s">
        <v>1316</v>
      </c>
      <c r="G144" s="14" t="s">
        <v>1317</v>
      </c>
      <c r="H144" s="2" t="s">
        <v>1318</v>
      </c>
      <c r="I144" s="15">
        <v>1</v>
      </c>
    </row>
    <row r="145" spans="1:9" ht="13" x14ac:dyDescent="0.15">
      <c r="A145" s="2" t="s">
        <v>512</v>
      </c>
      <c r="B145" s="14" t="s">
        <v>983</v>
      </c>
      <c r="C145" s="14" t="str">
        <f t="shared" si="0"/>
        <v>How many uppercase letters are in the word \"Bangyan\"?</v>
      </c>
      <c r="D145" s="14" t="str">
        <f t="shared" si="1"/>
        <v>Ilang malaking titik ang mayroon sa salitang \"Bangyan\"?</v>
      </c>
      <c r="E145" s="14">
        <f t="shared" si="2"/>
        <v>1</v>
      </c>
      <c r="F145" s="14" t="s">
        <v>1319</v>
      </c>
      <c r="G145" s="14" t="s">
        <v>1320</v>
      </c>
      <c r="H145" s="2" t="s">
        <v>1321</v>
      </c>
      <c r="I145" s="15">
        <v>1</v>
      </c>
    </row>
    <row r="146" spans="1:9" ht="13" x14ac:dyDescent="0.15">
      <c r="A146" s="2" t="s">
        <v>512</v>
      </c>
      <c r="B146" s="14" t="s">
        <v>983</v>
      </c>
      <c r="C146" s="14" t="str">
        <f t="shared" si="0"/>
        <v>How many uppercase letters are in the word \"Botswana\"?</v>
      </c>
      <c r="D146" s="14" t="str">
        <f t="shared" si="1"/>
        <v>Ilang malaking titik ang mayroon sa salitang \"Botswana\"?</v>
      </c>
      <c r="E146" s="14">
        <f t="shared" si="2"/>
        <v>1</v>
      </c>
      <c r="F146" s="14" t="s">
        <v>1322</v>
      </c>
      <c r="G146" s="14" t="s">
        <v>1323</v>
      </c>
      <c r="H146" s="2" t="s">
        <v>1324</v>
      </c>
      <c r="I146" s="15">
        <v>1</v>
      </c>
    </row>
    <row r="147" spans="1:9" ht="13" x14ac:dyDescent="0.15">
      <c r="A147" s="2" t="s">
        <v>512</v>
      </c>
      <c r="B147" s="14" t="s">
        <v>983</v>
      </c>
      <c r="C147" s="14" t="str">
        <f t="shared" si="0"/>
        <v>How many uppercase letters are in the word \"Epikureismo\"?</v>
      </c>
      <c r="D147" s="14" t="str">
        <f t="shared" si="1"/>
        <v>Ilang malaking titik ang mayroon sa salitang \"Epikureismo\"?</v>
      </c>
      <c r="E147" s="14">
        <f t="shared" si="2"/>
        <v>1</v>
      </c>
      <c r="F147" s="14" t="s">
        <v>1325</v>
      </c>
      <c r="G147" s="14" t="s">
        <v>1326</v>
      </c>
      <c r="H147" s="2" t="s">
        <v>1327</v>
      </c>
      <c r="I147" s="15">
        <v>1</v>
      </c>
    </row>
    <row r="148" spans="1:9" ht="13" x14ac:dyDescent="0.15">
      <c r="A148" s="2" t="s">
        <v>512</v>
      </c>
      <c r="B148" s="14" t="s">
        <v>983</v>
      </c>
      <c r="C148" s="14" t="str">
        <f t="shared" si="0"/>
        <v>How many uppercase letters are in the word \"Inabaknon\"?</v>
      </c>
      <c r="D148" s="14" t="str">
        <f t="shared" si="1"/>
        <v>Ilang malaking titik ang mayroon sa salitang \"Inabaknon\"?</v>
      </c>
      <c r="E148" s="14">
        <f t="shared" si="2"/>
        <v>1</v>
      </c>
      <c r="F148" s="14" t="s">
        <v>1328</v>
      </c>
      <c r="G148" s="14" t="s">
        <v>1329</v>
      </c>
      <c r="H148" s="2" t="s">
        <v>1330</v>
      </c>
      <c r="I148" s="15">
        <v>1</v>
      </c>
    </row>
    <row r="149" spans="1:9" ht="13" x14ac:dyDescent="0.15">
      <c r="A149" s="2" t="s">
        <v>512</v>
      </c>
      <c r="B149" s="14" t="s">
        <v>983</v>
      </c>
      <c r="C149" s="14" t="str">
        <f t="shared" si="0"/>
        <v>How many uppercase letters are in the word \"Re\"?</v>
      </c>
      <c r="D149" s="14" t="str">
        <f t="shared" si="1"/>
        <v>Ilang malaking titik ang mayroon sa salitang \"Re\"?</v>
      </c>
      <c r="E149" s="14">
        <f t="shared" si="2"/>
        <v>1</v>
      </c>
      <c r="F149" s="14" t="s">
        <v>1331</v>
      </c>
      <c r="G149" s="14" t="s">
        <v>1332</v>
      </c>
      <c r="H149" s="2" t="s">
        <v>1333</v>
      </c>
      <c r="I149" s="15">
        <v>1</v>
      </c>
    </row>
    <row r="150" spans="1:9" ht="13" x14ac:dyDescent="0.15">
      <c r="A150" s="2" t="s">
        <v>512</v>
      </c>
      <c r="B150" s="14" t="s">
        <v>983</v>
      </c>
      <c r="C150" s="14" t="str">
        <f t="shared" si="0"/>
        <v>How many uppercase letters are in the word \"Ezra\"?</v>
      </c>
      <c r="D150" s="14" t="str">
        <f t="shared" si="1"/>
        <v>Ilang malaking titik ang mayroon sa salitang \"Ezra\"?</v>
      </c>
      <c r="E150" s="14">
        <f t="shared" si="2"/>
        <v>1</v>
      </c>
      <c r="F150" s="14" t="s">
        <v>1334</v>
      </c>
      <c r="G150" s="14" t="s">
        <v>1335</v>
      </c>
      <c r="H150" s="2" t="s">
        <v>1336</v>
      </c>
      <c r="I150" s="15">
        <v>1</v>
      </c>
    </row>
    <row r="151" spans="1:9" ht="13" x14ac:dyDescent="0.15">
      <c r="A151" s="2" t="s">
        <v>512</v>
      </c>
      <c r="B151" s="14" t="s">
        <v>983</v>
      </c>
      <c r="C151" s="14" t="str">
        <f t="shared" si="0"/>
        <v>How many uppercase letters are in the word \"Hail!\"?</v>
      </c>
      <c r="D151" s="14" t="str">
        <f t="shared" si="1"/>
        <v>Ilang malaking titik ang mayroon sa salitang \"Hail!\"?</v>
      </c>
      <c r="E151" s="14">
        <f t="shared" si="2"/>
        <v>1</v>
      </c>
      <c r="F151" s="14" t="s">
        <v>1337</v>
      </c>
      <c r="G151" s="14" t="s">
        <v>1338</v>
      </c>
      <c r="H151" s="2" t="s">
        <v>1339</v>
      </c>
      <c r="I151" s="15">
        <v>1</v>
      </c>
    </row>
    <row r="152" spans="1:9" ht="13" x14ac:dyDescent="0.15">
      <c r="A152" s="2" t="s">
        <v>512</v>
      </c>
      <c r="B152" s="14" t="s">
        <v>983</v>
      </c>
      <c r="C152" s="14" t="str">
        <f t="shared" si="0"/>
        <v>How many uppercase letters are in the word \"Leyte\"?</v>
      </c>
      <c r="D152" s="14" t="str">
        <f t="shared" si="1"/>
        <v>Ilang malaking titik ang mayroon sa salitang \"Leyte\"?</v>
      </c>
      <c r="E152" s="14">
        <f t="shared" si="2"/>
        <v>1</v>
      </c>
      <c r="F152" s="14" t="s">
        <v>1340</v>
      </c>
      <c r="G152" s="14" t="s">
        <v>1341</v>
      </c>
      <c r="H152" s="2" t="s">
        <v>1342</v>
      </c>
      <c r="I152" s="15">
        <v>1</v>
      </c>
    </row>
    <row r="153" spans="1:9" ht="13" x14ac:dyDescent="0.15">
      <c r="A153" s="2" t="s">
        <v>512</v>
      </c>
      <c r="B153" s="14" t="s">
        <v>983</v>
      </c>
      <c r="C153" s="14" t="str">
        <f t="shared" si="0"/>
        <v>How many uppercase letters are in the word \"Egyptian\"?</v>
      </c>
      <c r="D153" s="14" t="str">
        <f t="shared" si="1"/>
        <v>Ilang malaking titik ang mayroon sa salitang \"Egyptian\"?</v>
      </c>
      <c r="E153" s="14">
        <f t="shared" si="2"/>
        <v>1</v>
      </c>
      <c r="F153" s="14" t="s">
        <v>1343</v>
      </c>
      <c r="G153" s="14" t="s">
        <v>1344</v>
      </c>
      <c r="H153" s="2" t="s">
        <v>1345</v>
      </c>
      <c r="I153" s="15">
        <v>1</v>
      </c>
    </row>
    <row r="154" spans="1:9" ht="13" x14ac:dyDescent="0.15">
      <c r="A154" s="2" t="s">
        <v>512</v>
      </c>
      <c r="B154" s="14" t="s">
        <v>983</v>
      </c>
      <c r="C154" s="14" t="str">
        <f t="shared" si="0"/>
        <v>How many uppercase letters are in the word \"Sicily\"?</v>
      </c>
      <c r="D154" s="14" t="str">
        <f t="shared" si="1"/>
        <v>Ilang malaking titik ang mayroon sa salitang \"Sicily\"?</v>
      </c>
      <c r="E154" s="14">
        <f t="shared" si="2"/>
        <v>1</v>
      </c>
      <c r="F154" s="14" t="s">
        <v>1346</v>
      </c>
      <c r="G154" s="14" t="s">
        <v>1347</v>
      </c>
      <c r="H154" s="2" t="s">
        <v>1348</v>
      </c>
      <c r="I154" s="15">
        <v>1</v>
      </c>
    </row>
    <row r="155" spans="1:9" ht="13" x14ac:dyDescent="0.15">
      <c r="A155" s="2" t="s">
        <v>512</v>
      </c>
      <c r="B155" s="14" t="s">
        <v>983</v>
      </c>
      <c r="C155" s="14" t="str">
        <f t="shared" si="0"/>
        <v>How many uppercase letters are in the word \"Orestes\"?</v>
      </c>
      <c r="D155" s="14" t="str">
        <f t="shared" si="1"/>
        <v>Ilang malaking titik ang mayroon sa salitang \"Orestes\"?</v>
      </c>
      <c r="E155" s="14">
        <f t="shared" si="2"/>
        <v>1</v>
      </c>
      <c r="F155" s="14" t="s">
        <v>1349</v>
      </c>
      <c r="G155" s="14" t="s">
        <v>1350</v>
      </c>
      <c r="H155" s="2" t="s">
        <v>1351</v>
      </c>
      <c r="I155" s="15">
        <v>1</v>
      </c>
    </row>
    <row r="156" spans="1:9" ht="13" x14ac:dyDescent="0.15">
      <c r="A156" s="2" t="s">
        <v>512</v>
      </c>
      <c r="B156" s="14" t="s">
        <v>983</v>
      </c>
      <c r="C156" s="14" t="str">
        <f t="shared" si="0"/>
        <v>How many uppercase letters are in the word \"del Pilar\"?</v>
      </c>
      <c r="D156" s="14" t="str">
        <f t="shared" si="1"/>
        <v>Ilang malaking titik ang mayroon sa salitang \"del Pilar\"?</v>
      </c>
      <c r="E156" s="14">
        <f t="shared" si="2"/>
        <v>1</v>
      </c>
      <c r="F156" s="14" t="s">
        <v>1352</v>
      </c>
      <c r="G156" s="14" t="s">
        <v>1353</v>
      </c>
      <c r="H156" s="2" t="s">
        <v>1354</v>
      </c>
      <c r="I156" s="15">
        <v>1</v>
      </c>
    </row>
    <row r="157" spans="1:9" ht="13" x14ac:dyDescent="0.15">
      <c r="A157" s="2" t="s">
        <v>512</v>
      </c>
      <c r="B157" s="14" t="s">
        <v>983</v>
      </c>
      <c r="C157" s="14" t="str">
        <f t="shared" si="0"/>
        <v>How many uppercase letters are in the word \"Iloko\"?</v>
      </c>
      <c r="D157" s="14" t="str">
        <f t="shared" si="1"/>
        <v>Ilang malaking titik ang mayroon sa salitang \"Iloko\"?</v>
      </c>
      <c r="E157" s="14">
        <f t="shared" si="2"/>
        <v>1</v>
      </c>
      <c r="F157" s="14" t="s">
        <v>1355</v>
      </c>
      <c r="G157" s="14" t="s">
        <v>1356</v>
      </c>
      <c r="H157" s="2" t="s">
        <v>1357</v>
      </c>
      <c r="I157" s="15">
        <v>1</v>
      </c>
    </row>
    <row r="158" spans="1:9" ht="13" x14ac:dyDescent="0.15">
      <c r="A158" s="2" t="s">
        <v>512</v>
      </c>
      <c r="B158" s="14" t="s">
        <v>983</v>
      </c>
      <c r="C158" s="14" t="str">
        <f t="shared" si="0"/>
        <v>How many uppercase letters are in the word \"Cain\"?</v>
      </c>
      <c r="D158" s="14" t="str">
        <f t="shared" si="1"/>
        <v>Ilang malaking titik ang mayroon sa salitang \"Cain\"?</v>
      </c>
      <c r="E158" s="14">
        <f t="shared" si="2"/>
        <v>1</v>
      </c>
      <c r="F158" s="14" t="s">
        <v>1358</v>
      </c>
      <c r="G158" s="14" t="s">
        <v>1359</v>
      </c>
      <c r="H158" s="2" t="s">
        <v>1360</v>
      </c>
      <c r="I158" s="15">
        <v>1</v>
      </c>
    </row>
    <row r="159" spans="1:9" ht="13" x14ac:dyDescent="0.15">
      <c r="A159" s="2" t="s">
        <v>512</v>
      </c>
      <c r="B159" s="14" t="s">
        <v>983</v>
      </c>
      <c r="C159" s="14" t="str">
        <f t="shared" si="0"/>
        <v>How many uppercase letters are in the word \"Dresden\"?</v>
      </c>
      <c r="D159" s="14" t="str">
        <f t="shared" si="1"/>
        <v>Ilang malaking titik ang mayroon sa salitang \"Dresden\"?</v>
      </c>
      <c r="E159" s="14">
        <f t="shared" si="2"/>
        <v>1</v>
      </c>
      <c r="F159" s="14" t="s">
        <v>1361</v>
      </c>
      <c r="G159" s="14" t="s">
        <v>1362</v>
      </c>
      <c r="H159" s="2" t="s">
        <v>1363</v>
      </c>
      <c r="I159" s="15">
        <v>1</v>
      </c>
    </row>
    <row r="160" spans="1:9" ht="13" x14ac:dyDescent="0.15">
      <c r="A160" s="2" t="s">
        <v>512</v>
      </c>
      <c r="B160" s="14" t="s">
        <v>983</v>
      </c>
      <c r="C160" s="14" t="str">
        <f t="shared" si="0"/>
        <v>How many uppercase letters are in the word \"Bira-an\"?</v>
      </c>
      <c r="D160" s="14" t="str">
        <f t="shared" si="1"/>
        <v>Ilang malaking titik ang mayroon sa salitang \"Bira-an\"?</v>
      </c>
      <c r="E160" s="14">
        <f t="shared" si="2"/>
        <v>1</v>
      </c>
      <c r="F160" s="14" t="s">
        <v>1364</v>
      </c>
      <c r="G160" s="14" t="s">
        <v>1365</v>
      </c>
      <c r="H160" s="2" t="s">
        <v>1366</v>
      </c>
      <c r="I160" s="15">
        <v>1</v>
      </c>
    </row>
    <row r="161" spans="1:9" ht="13" x14ac:dyDescent="0.15">
      <c r="A161" s="2" t="s">
        <v>512</v>
      </c>
      <c r="B161" s="14" t="s">
        <v>983</v>
      </c>
      <c r="C161" s="14" t="str">
        <f t="shared" si="0"/>
        <v>How many uppercase letters are in the word \"Kristiyano\"?</v>
      </c>
      <c r="D161" s="14" t="str">
        <f t="shared" si="1"/>
        <v>Ilang malaking titik ang mayroon sa salitang \"Kristiyano\"?</v>
      </c>
      <c r="E161" s="14">
        <f t="shared" si="2"/>
        <v>1</v>
      </c>
      <c r="F161" s="14" t="s">
        <v>1367</v>
      </c>
      <c r="G161" s="14" t="s">
        <v>1368</v>
      </c>
      <c r="H161" s="2" t="s">
        <v>1369</v>
      </c>
      <c r="I161" s="15">
        <v>1</v>
      </c>
    </row>
    <row r="162" spans="1:9" ht="13" x14ac:dyDescent="0.15">
      <c r="A162" s="2" t="s">
        <v>512</v>
      </c>
      <c r="B162" s="14" t="s">
        <v>983</v>
      </c>
      <c r="C162" s="14" t="str">
        <f t="shared" si="0"/>
        <v>How many uppercase letters are in the word \"Stilton\"?</v>
      </c>
      <c r="D162" s="14" t="str">
        <f t="shared" si="1"/>
        <v>Ilang malaking titik ang mayroon sa salitang \"Stilton\"?</v>
      </c>
      <c r="E162" s="14">
        <f t="shared" si="2"/>
        <v>1</v>
      </c>
      <c r="F162" s="14" t="s">
        <v>1370</v>
      </c>
      <c r="G162" s="14" t="s">
        <v>1371</v>
      </c>
      <c r="H162" s="2" t="s">
        <v>1372</v>
      </c>
      <c r="I162" s="15">
        <v>1</v>
      </c>
    </row>
    <row r="163" spans="1:9" ht="13" x14ac:dyDescent="0.15">
      <c r="A163" s="2" t="s">
        <v>512</v>
      </c>
      <c r="B163" s="14" t="s">
        <v>983</v>
      </c>
      <c r="C163" s="14" t="str">
        <f t="shared" si="0"/>
        <v>How many uppercase letters are in the word \"Putang ina!\"?</v>
      </c>
      <c r="D163" s="14" t="str">
        <f t="shared" si="1"/>
        <v>Ilang malaking titik ang mayroon sa salitang \"Putang ina!\"?</v>
      </c>
      <c r="E163" s="14">
        <f t="shared" si="2"/>
        <v>1</v>
      </c>
      <c r="F163" s="14" t="s">
        <v>1373</v>
      </c>
      <c r="G163" s="14" t="s">
        <v>1374</v>
      </c>
      <c r="H163" s="2" t="s">
        <v>1375</v>
      </c>
      <c r="I163" s="15">
        <v>1</v>
      </c>
    </row>
    <row r="164" spans="1:9" ht="13" x14ac:dyDescent="0.15">
      <c r="A164" s="2" t="s">
        <v>512</v>
      </c>
      <c r="B164" s="14" t="s">
        <v>983</v>
      </c>
      <c r="C164" s="14" t="str">
        <f t="shared" si="0"/>
        <v>How many uppercase letters are in the word \"Taurus\"?</v>
      </c>
      <c r="D164" s="14" t="str">
        <f t="shared" si="1"/>
        <v>Ilang malaking titik ang mayroon sa salitang \"Taurus\"?</v>
      </c>
      <c r="E164" s="14">
        <f t="shared" si="2"/>
        <v>1</v>
      </c>
      <c r="F164" s="14" t="s">
        <v>1376</v>
      </c>
      <c r="G164" s="14" t="s">
        <v>1377</v>
      </c>
      <c r="H164" s="2" t="s">
        <v>1378</v>
      </c>
      <c r="I164" s="15">
        <v>1</v>
      </c>
    </row>
    <row r="165" spans="1:9" ht="13" x14ac:dyDescent="0.15">
      <c r="A165" s="2" t="s">
        <v>512</v>
      </c>
      <c r="B165" s="14" t="s">
        <v>983</v>
      </c>
      <c r="C165" s="14" t="str">
        <f t="shared" si="0"/>
        <v>How many uppercase letters are in the word \"Ibarra\"?</v>
      </c>
      <c r="D165" s="14" t="str">
        <f t="shared" si="1"/>
        <v>Ilang malaking titik ang mayroon sa salitang \"Ibarra\"?</v>
      </c>
      <c r="E165" s="14">
        <f t="shared" si="2"/>
        <v>1</v>
      </c>
      <c r="F165" s="14" t="s">
        <v>1379</v>
      </c>
      <c r="G165" s="14" t="s">
        <v>1380</v>
      </c>
      <c r="H165" s="2" t="s">
        <v>1381</v>
      </c>
      <c r="I165" s="15">
        <v>1</v>
      </c>
    </row>
    <row r="166" spans="1:9" ht="13" x14ac:dyDescent="0.15">
      <c r="A166" s="2" t="s">
        <v>512</v>
      </c>
      <c r="B166" s="14" t="s">
        <v>983</v>
      </c>
      <c r="C166" s="14" t="str">
        <f t="shared" si="0"/>
        <v>How many uppercase letters are in the word \"Gorgon\"?</v>
      </c>
      <c r="D166" s="14" t="str">
        <f t="shared" si="1"/>
        <v>Ilang malaking titik ang mayroon sa salitang \"Gorgon\"?</v>
      </c>
      <c r="E166" s="14">
        <f t="shared" si="2"/>
        <v>1</v>
      </c>
      <c r="F166" s="14" t="s">
        <v>1382</v>
      </c>
      <c r="G166" s="14" t="s">
        <v>1383</v>
      </c>
      <c r="H166" s="2" t="s">
        <v>1384</v>
      </c>
      <c r="I166" s="15">
        <v>1</v>
      </c>
    </row>
    <row r="167" spans="1:9" ht="13" x14ac:dyDescent="0.15">
      <c r="A167" s="2" t="s">
        <v>512</v>
      </c>
      <c r="B167" s="14" t="s">
        <v>983</v>
      </c>
      <c r="C167" s="14" t="str">
        <f t="shared" si="0"/>
        <v>How many uppercase letters are in the word \"Kanser\"?</v>
      </c>
      <c r="D167" s="14" t="str">
        <f t="shared" si="1"/>
        <v>Ilang malaking titik ang mayroon sa salitang \"Kanser\"?</v>
      </c>
      <c r="E167" s="14">
        <f t="shared" si="2"/>
        <v>1</v>
      </c>
      <c r="F167" s="14" t="s">
        <v>1385</v>
      </c>
      <c r="G167" s="14" t="s">
        <v>1386</v>
      </c>
      <c r="H167" s="2" t="s">
        <v>1387</v>
      </c>
      <c r="I167" s="15">
        <v>1</v>
      </c>
    </row>
    <row r="168" spans="1:9" ht="13" x14ac:dyDescent="0.15">
      <c r="A168" s="2" t="s">
        <v>512</v>
      </c>
      <c r="B168" s="14" t="s">
        <v>983</v>
      </c>
      <c r="C168" s="14" t="str">
        <f t="shared" si="0"/>
        <v>How many uppercase letters are in the word \"Pasay\"?</v>
      </c>
      <c r="D168" s="14" t="str">
        <f t="shared" si="1"/>
        <v>Ilang malaking titik ang mayroon sa salitang \"Pasay\"?</v>
      </c>
      <c r="E168" s="14">
        <f t="shared" si="2"/>
        <v>1</v>
      </c>
      <c r="F168" s="14" t="s">
        <v>1388</v>
      </c>
      <c r="G168" s="14" t="s">
        <v>1389</v>
      </c>
      <c r="H168" s="2" t="s">
        <v>1390</v>
      </c>
      <c r="I168" s="15">
        <v>1</v>
      </c>
    </row>
    <row r="169" spans="1:9" ht="13" x14ac:dyDescent="0.15">
      <c r="A169" s="2" t="s">
        <v>512</v>
      </c>
      <c r="B169" s="14" t="s">
        <v>983</v>
      </c>
      <c r="C169" s="14" t="str">
        <f t="shared" si="0"/>
        <v>How many uppercase letters are in the word \"Intendente\"?</v>
      </c>
      <c r="D169" s="14" t="str">
        <f t="shared" si="1"/>
        <v>Ilang malaking titik ang mayroon sa salitang \"Intendente\"?</v>
      </c>
      <c r="E169" s="14">
        <f t="shared" si="2"/>
        <v>1</v>
      </c>
      <c r="F169" s="14" t="s">
        <v>1391</v>
      </c>
      <c r="G169" s="14" t="s">
        <v>1392</v>
      </c>
      <c r="H169" s="2" t="s">
        <v>1393</v>
      </c>
      <c r="I169" s="15">
        <v>1</v>
      </c>
    </row>
    <row r="170" spans="1:9" ht="13" x14ac:dyDescent="0.15">
      <c r="A170" s="2" t="s">
        <v>512</v>
      </c>
      <c r="B170" s="14" t="s">
        <v>983</v>
      </c>
      <c r="C170" s="14" t="str">
        <f t="shared" si="0"/>
        <v>How many uppercase letters are in the word \"Maharnilad\"?</v>
      </c>
      <c r="D170" s="14" t="str">
        <f t="shared" si="1"/>
        <v>Ilang malaking titik ang mayroon sa salitang \"Maharnilad\"?</v>
      </c>
      <c r="E170" s="14">
        <f t="shared" si="2"/>
        <v>1</v>
      </c>
      <c r="F170" s="14" t="s">
        <v>1394</v>
      </c>
      <c r="G170" s="14" t="s">
        <v>1395</v>
      </c>
      <c r="H170" s="2" t="s">
        <v>1396</v>
      </c>
      <c r="I170" s="15">
        <v>1</v>
      </c>
    </row>
    <row r="171" spans="1:9" ht="13" x14ac:dyDescent="0.15">
      <c r="A171" s="2" t="s">
        <v>512</v>
      </c>
      <c r="B171" s="14" t="s">
        <v>983</v>
      </c>
      <c r="C171" s="14" t="str">
        <f t="shared" si="0"/>
        <v>How many uppercase letters are in the word \"Araw ng Kasarinlan\"?</v>
      </c>
      <c r="D171" s="14" t="str">
        <f t="shared" si="1"/>
        <v>Ilang malaking titik ang mayroon sa salitang \"Araw ng Kasarinlan\"?</v>
      </c>
      <c r="E171" s="14">
        <f t="shared" si="2"/>
        <v>2</v>
      </c>
      <c r="F171" s="14" t="s">
        <v>1397</v>
      </c>
      <c r="G171" s="14" t="s">
        <v>1398</v>
      </c>
      <c r="H171" s="2" t="s">
        <v>1399</v>
      </c>
      <c r="I171" s="15">
        <v>2</v>
      </c>
    </row>
    <row r="172" spans="1:9" ht="13" x14ac:dyDescent="0.15">
      <c r="A172" s="2" t="s">
        <v>512</v>
      </c>
      <c r="B172" s="14" t="s">
        <v>983</v>
      </c>
      <c r="C172" s="14" t="str">
        <f t="shared" si="0"/>
        <v>How many uppercase letters are in the word \"Bulkan Iraya\"?</v>
      </c>
      <c r="D172" s="14" t="str">
        <f t="shared" si="1"/>
        <v>Ilang malaking titik ang mayroon sa salitang \"Bulkan Iraya\"?</v>
      </c>
      <c r="E172" s="14">
        <f t="shared" si="2"/>
        <v>2</v>
      </c>
      <c r="F172" s="14" t="s">
        <v>1400</v>
      </c>
      <c r="G172" s="14" t="s">
        <v>1401</v>
      </c>
      <c r="H172" s="2" t="s">
        <v>1402</v>
      </c>
      <c r="I172" s="15">
        <v>2</v>
      </c>
    </row>
    <row r="173" spans="1:9" ht="13" x14ac:dyDescent="0.15">
      <c r="A173" s="2" t="s">
        <v>512</v>
      </c>
      <c r="B173" s="14" t="s">
        <v>983</v>
      </c>
      <c r="C173" s="14" t="str">
        <f t="shared" si="0"/>
        <v>How many uppercase letters are in the word \"La Trinidad\"?</v>
      </c>
      <c r="D173" s="14" t="str">
        <f t="shared" si="1"/>
        <v>Ilang malaking titik ang mayroon sa salitang \"La Trinidad\"?</v>
      </c>
      <c r="E173" s="14">
        <f t="shared" si="2"/>
        <v>2</v>
      </c>
      <c r="F173" s="14" t="s">
        <v>1403</v>
      </c>
      <c r="G173" s="14" t="s">
        <v>1404</v>
      </c>
      <c r="H173" s="2" t="s">
        <v>1405</v>
      </c>
      <c r="I173" s="15">
        <v>2</v>
      </c>
    </row>
    <row r="174" spans="1:9" ht="13" x14ac:dyDescent="0.15">
      <c r="A174" s="2" t="s">
        <v>512</v>
      </c>
      <c r="B174" s="14" t="s">
        <v>983</v>
      </c>
      <c r="C174" s="14" t="str">
        <f t="shared" si="0"/>
        <v>How many uppercase letters are in the word \"POW\"?</v>
      </c>
      <c r="D174" s="14" t="str">
        <f t="shared" si="1"/>
        <v>Ilang malaking titik ang mayroon sa salitang \"POW\"?</v>
      </c>
      <c r="E174" s="14">
        <f t="shared" si="2"/>
        <v>3</v>
      </c>
      <c r="F174" s="14" t="s">
        <v>1406</v>
      </c>
      <c r="G174" s="14" t="s">
        <v>1407</v>
      </c>
      <c r="H174" s="2" t="s">
        <v>1408</v>
      </c>
      <c r="I174" s="15">
        <v>3</v>
      </c>
    </row>
    <row r="175" spans="1:9" ht="13" x14ac:dyDescent="0.15">
      <c r="A175" s="2" t="s">
        <v>512</v>
      </c>
      <c r="B175" s="14" t="s">
        <v>983</v>
      </c>
      <c r="C175" s="14" t="str">
        <f t="shared" si="0"/>
        <v>How many uppercase letters are in the word \"Venus de Milo\"?</v>
      </c>
      <c r="D175" s="14" t="str">
        <f t="shared" si="1"/>
        <v>Ilang malaking titik ang mayroon sa salitang \"Venus de Milo\"?</v>
      </c>
      <c r="E175" s="14">
        <f t="shared" si="2"/>
        <v>2</v>
      </c>
      <c r="F175" s="14" t="s">
        <v>1409</v>
      </c>
      <c r="G175" s="14" t="s">
        <v>1410</v>
      </c>
      <c r="H175" s="2" t="s">
        <v>1411</v>
      </c>
      <c r="I175" s="15">
        <v>2</v>
      </c>
    </row>
    <row r="176" spans="1:9" ht="13" x14ac:dyDescent="0.15">
      <c r="A176" s="2" t="s">
        <v>512</v>
      </c>
      <c r="B176" s="14" t="s">
        <v>983</v>
      </c>
      <c r="C176" s="14" t="str">
        <f t="shared" si="0"/>
        <v>How many uppercase letters are in the word \"Talang Batugan\"?</v>
      </c>
      <c r="D176" s="14" t="str">
        <f t="shared" si="1"/>
        <v>Ilang malaking titik ang mayroon sa salitang \"Talang Batugan\"?</v>
      </c>
      <c r="E176" s="14">
        <f t="shared" si="2"/>
        <v>2</v>
      </c>
      <c r="F176" s="14" t="s">
        <v>1412</v>
      </c>
      <c r="G176" s="14" t="s">
        <v>1413</v>
      </c>
      <c r="H176" s="2" t="s">
        <v>1414</v>
      </c>
      <c r="I176" s="15">
        <v>2</v>
      </c>
    </row>
    <row r="177" spans="1:9" ht="13" x14ac:dyDescent="0.15">
      <c r="A177" s="2" t="s">
        <v>512</v>
      </c>
      <c r="B177" s="14" t="s">
        <v>983</v>
      </c>
      <c r="C177" s="14" t="str">
        <f t="shared" si="0"/>
        <v>How many uppercase letters are in the word \"Bundok Arayat\"?</v>
      </c>
      <c r="D177" s="14" t="str">
        <f t="shared" si="1"/>
        <v>Ilang malaking titik ang mayroon sa salitang \"Bundok Arayat\"?</v>
      </c>
      <c r="E177" s="14">
        <f t="shared" si="2"/>
        <v>2</v>
      </c>
      <c r="F177" s="14" t="s">
        <v>1415</v>
      </c>
      <c r="G177" s="14" t="s">
        <v>1416</v>
      </c>
      <c r="H177" s="2" t="s">
        <v>1417</v>
      </c>
      <c r="I177" s="15">
        <v>2</v>
      </c>
    </row>
    <row r="178" spans="1:9" ht="13" x14ac:dyDescent="0.15">
      <c r="A178" s="2" t="s">
        <v>512</v>
      </c>
      <c r="B178" s="14" t="s">
        <v>983</v>
      </c>
      <c r="C178" s="14" t="str">
        <f t="shared" si="0"/>
        <v>How many uppercase letters are in the word \"Milky Way\"?</v>
      </c>
      <c r="D178" s="14" t="str">
        <f t="shared" si="1"/>
        <v>Ilang malaking titik ang mayroon sa salitang \"Milky Way\"?</v>
      </c>
      <c r="E178" s="14">
        <f t="shared" si="2"/>
        <v>2</v>
      </c>
      <c r="F178" s="14" t="s">
        <v>1418</v>
      </c>
      <c r="G178" s="14" t="s">
        <v>1419</v>
      </c>
      <c r="H178" s="2" t="s">
        <v>1420</v>
      </c>
      <c r="I178" s="15">
        <v>2</v>
      </c>
    </row>
    <row r="179" spans="1:9" ht="13" x14ac:dyDescent="0.15">
      <c r="A179" s="2" t="s">
        <v>512</v>
      </c>
      <c r="B179" s="14" t="s">
        <v>983</v>
      </c>
      <c r="C179" s="14" t="str">
        <f t="shared" si="0"/>
        <v>How many uppercase letters are in the word \"Tala sa Timog\"?</v>
      </c>
      <c r="D179" s="14" t="str">
        <f t="shared" si="1"/>
        <v>Ilang malaking titik ang mayroon sa salitang \"Tala sa Timog\"?</v>
      </c>
      <c r="E179" s="14">
        <f t="shared" si="2"/>
        <v>2</v>
      </c>
      <c r="F179" s="14" t="s">
        <v>1421</v>
      </c>
      <c r="G179" s="14" t="s">
        <v>1422</v>
      </c>
      <c r="H179" s="2" t="s">
        <v>1423</v>
      </c>
      <c r="I179" s="15">
        <v>2</v>
      </c>
    </row>
    <row r="180" spans="1:9" ht="13" x14ac:dyDescent="0.15">
      <c r="A180" s="2" t="s">
        <v>512</v>
      </c>
      <c r="B180" s="14" t="s">
        <v>983</v>
      </c>
      <c r="C180" s="14" t="str">
        <f t="shared" si="0"/>
        <v>How many uppercase letters are in the word \"SB\"?</v>
      </c>
      <c r="D180" s="14" t="str">
        <f t="shared" si="1"/>
        <v>Ilang malaking titik ang mayroon sa salitang \"SB\"?</v>
      </c>
      <c r="E180" s="14">
        <f t="shared" si="2"/>
        <v>2</v>
      </c>
      <c r="F180" s="14" t="s">
        <v>1424</v>
      </c>
      <c r="G180" s="14" t="s">
        <v>1425</v>
      </c>
      <c r="H180" s="2" t="s">
        <v>1426</v>
      </c>
      <c r="I180" s="15">
        <v>2</v>
      </c>
    </row>
    <row r="181" spans="1:9" ht="13" x14ac:dyDescent="0.15">
      <c r="A181" s="2" t="s">
        <v>512</v>
      </c>
      <c r="B181" s="14" t="s">
        <v>983</v>
      </c>
      <c r="C181" s="14" t="str">
        <f t="shared" si="0"/>
        <v>How many uppercase letters are in the word \"AWOL\"?</v>
      </c>
      <c r="D181" s="14" t="str">
        <f t="shared" si="1"/>
        <v>Ilang malaking titik ang mayroon sa salitang \"AWOL\"?</v>
      </c>
      <c r="E181" s="14">
        <f t="shared" si="2"/>
        <v>4</v>
      </c>
      <c r="F181" s="14" t="s">
        <v>1427</v>
      </c>
      <c r="G181" s="14" t="s">
        <v>1428</v>
      </c>
      <c r="H181" s="2" t="s">
        <v>1429</v>
      </c>
      <c r="I181" s="15">
        <v>4</v>
      </c>
    </row>
    <row r="182" spans="1:9" ht="13" x14ac:dyDescent="0.15">
      <c r="A182" s="2" t="s">
        <v>512</v>
      </c>
      <c r="B182" s="14" t="s">
        <v>983</v>
      </c>
      <c r="C182" s="14" t="str">
        <f t="shared" si="0"/>
        <v>How many uppercase letters are in the word \"Middle East\"?</v>
      </c>
      <c r="D182" s="14" t="str">
        <f t="shared" si="1"/>
        <v>Ilang malaking titik ang mayroon sa salitang \"Middle East\"?</v>
      </c>
      <c r="E182" s="14">
        <f t="shared" si="2"/>
        <v>2</v>
      </c>
      <c r="F182" s="14" t="s">
        <v>1430</v>
      </c>
      <c r="G182" s="14" t="s">
        <v>1431</v>
      </c>
      <c r="H182" s="2" t="s">
        <v>1432</v>
      </c>
      <c r="I182" s="15">
        <v>2</v>
      </c>
    </row>
    <row r="183" spans="1:9" ht="13" x14ac:dyDescent="0.15">
      <c r="A183" s="2" t="s">
        <v>512</v>
      </c>
      <c r="B183" s="14" t="s">
        <v>983</v>
      </c>
      <c r="C183" s="14" t="str">
        <f t="shared" si="0"/>
        <v>How many uppercase letters are in the word \"Great Britain\"?</v>
      </c>
      <c r="D183" s="14" t="str">
        <f t="shared" si="1"/>
        <v>Ilang malaking titik ang mayroon sa salitang \"Great Britain\"?</v>
      </c>
      <c r="E183" s="14">
        <f t="shared" si="2"/>
        <v>2</v>
      </c>
      <c r="F183" s="14" t="s">
        <v>1433</v>
      </c>
      <c r="G183" s="14" t="s">
        <v>1434</v>
      </c>
      <c r="H183" s="2" t="s">
        <v>1435</v>
      </c>
      <c r="I183" s="15">
        <v>2</v>
      </c>
    </row>
    <row r="184" spans="1:9" ht="13" x14ac:dyDescent="0.15">
      <c r="A184" s="2" t="s">
        <v>512</v>
      </c>
      <c r="B184" s="14" t="s">
        <v>983</v>
      </c>
      <c r="C184" s="14" t="str">
        <f t="shared" si="0"/>
        <v>How many uppercase letters are in the word \"Antarctic Ocean\"?</v>
      </c>
      <c r="D184" s="14" t="str">
        <f t="shared" si="1"/>
        <v>Ilang malaking titik ang mayroon sa salitang \"Antarctic Ocean\"?</v>
      </c>
      <c r="E184" s="14">
        <f t="shared" si="2"/>
        <v>2</v>
      </c>
      <c r="F184" s="14" t="s">
        <v>1436</v>
      </c>
      <c r="G184" s="14" t="s">
        <v>1437</v>
      </c>
      <c r="H184" s="2" t="s">
        <v>1438</v>
      </c>
      <c r="I184" s="15">
        <v>2</v>
      </c>
    </row>
    <row r="185" spans="1:9" ht="13" x14ac:dyDescent="0.15">
      <c r="A185" s="2" t="s">
        <v>512</v>
      </c>
      <c r="B185" s="14" t="s">
        <v>983</v>
      </c>
      <c r="C185" s="14" t="str">
        <f t="shared" si="0"/>
        <v>How many uppercase letters are in the word \"CIA\"?</v>
      </c>
      <c r="D185" s="14" t="str">
        <f t="shared" si="1"/>
        <v>Ilang malaking titik ang mayroon sa salitang \"CIA\"?</v>
      </c>
      <c r="E185" s="14">
        <f t="shared" si="2"/>
        <v>3</v>
      </c>
      <c r="F185" s="14" t="s">
        <v>1439</v>
      </c>
      <c r="G185" s="14" t="s">
        <v>1440</v>
      </c>
      <c r="H185" s="2" t="s">
        <v>1441</v>
      </c>
      <c r="I185" s="15">
        <v>3</v>
      </c>
    </row>
    <row r="186" spans="1:9" ht="13" x14ac:dyDescent="0.15">
      <c r="A186" s="2" t="s">
        <v>512</v>
      </c>
      <c r="B186" s="14" t="s">
        <v>983</v>
      </c>
      <c r="C186" s="14" t="str">
        <f t="shared" si="0"/>
        <v>How many uppercase letters are in the word \"Dagat Caribbean\"?</v>
      </c>
      <c r="D186" s="14" t="str">
        <f t="shared" si="1"/>
        <v>Ilang malaking titik ang mayroon sa salitang \"Dagat Caribbean\"?</v>
      </c>
      <c r="E186" s="14">
        <f t="shared" si="2"/>
        <v>2</v>
      </c>
      <c r="F186" s="14" t="s">
        <v>1442</v>
      </c>
      <c r="G186" s="14" t="s">
        <v>1443</v>
      </c>
      <c r="H186" s="2" t="s">
        <v>1444</v>
      </c>
      <c r="I186" s="15">
        <v>2</v>
      </c>
    </row>
    <row r="187" spans="1:9" ht="13" x14ac:dyDescent="0.15">
      <c r="A187" s="2" t="s">
        <v>512</v>
      </c>
      <c r="B187" s="14" t="s">
        <v>983</v>
      </c>
      <c r="C187" s="14" t="str">
        <f t="shared" si="0"/>
        <v>How many uppercase letters are in the word \"CPU\"?</v>
      </c>
      <c r="D187" s="14" t="str">
        <f t="shared" si="1"/>
        <v>Ilang malaking titik ang mayroon sa salitang \"CPU\"?</v>
      </c>
      <c r="E187" s="14">
        <f t="shared" si="2"/>
        <v>3</v>
      </c>
      <c r="F187" s="14" t="s">
        <v>1445</v>
      </c>
      <c r="G187" s="14" t="s">
        <v>567</v>
      </c>
      <c r="H187" s="2" t="s">
        <v>1446</v>
      </c>
      <c r="I187" s="15">
        <v>3</v>
      </c>
    </row>
    <row r="188" spans="1:9" ht="13" x14ac:dyDescent="0.15">
      <c r="A188" s="2" t="s">
        <v>512</v>
      </c>
      <c r="B188" s="14" t="s">
        <v>983</v>
      </c>
      <c r="C188" s="14" t="str">
        <f t="shared" si="0"/>
        <v>How many uppercase letters are in the word \"White House\"?</v>
      </c>
      <c r="D188" s="14" t="str">
        <f t="shared" si="1"/>
        <v>Ilang malaking titik ang mayroon sa salitang \"White House\"?</v>
      </c>
      <c r="E188" s="14">
        <f t="shared" si="2"/>
        <v>2</v>
      </c>
      <c r="F188" s="14" t="s">
        <v>1447</v>
      </c>
      <c r="G188" s="14" t="s">
        <v>1448</v>
      </c>
      <c r="H188" s="2" t="s">
        <v>1449</v>
      </c>
      <c r="I188" s="15">
        <v>2</v>
      </c>
    </row>
    <row r="189" spans="1:9" ht="13" x14ac:dyDescent="0.15">
      <c r="A189" s="2" t="s">
        <v>512</v>
      </c>
      <c r="B189" s="14" t="s">
        <v>983</v>
      </c>
      <c r="C189" s="14" t="str">
        <f t="shared" si="0"/>
        <v>How many uppercase letters are in the word \"Holy Thursday\"?</v>
      </c>
      <c r="D189" s="14" t="str">
        <f t="shared" si="1"/>
        <v>Ilang malaking titik ang mayroon sa salitang \"Holy Thursday\"?</v>
      </c>
      <c r="E189" s="14">
        <f t="shared" si="2"/>
        <v>2</v>
      </c>
      <c r="F189" s="14" t="s">
        <v>1450</v>
      </c>
      <c r="G189" s="14" t="s">
        <v>1451</v>
      </c>
      <c r="H189" s="2" t="s">
        <v>1452</v>
      </c>
      <c r="I189" s="15">
        <v>2</v>
      </c>
    </row>
    <row r="190" spans="1:9" ht="13" x14ac:dyDescent="0.15">
      <c r="A190" s="2" t="s">
        <v>512</v>
      </c>
      <c r="B190" s="14" t="s">
        <v>983</v>
      </c>
      <c r="C190" s="14" t="str">
        <f t="shared" si="0"/>
        <v>How many uppercase letters are in the word \"New Criticism\"?</v>
      </c>
      <c r="D190" s="14" t="str">
        <f t="shared" si="1"/>
        <v>Ilang malaking titik ang mayroon sa salitang \"New Criticism\"?</v>
      </c>
      <c r="E190" s="14">
        <f t="shared" si="2"/>
        <v>2</v>
      </c>
      <c r="F190" s="14" t="s">
        <v>1453</v>
      </c>
      <c r="G190" s="14" t="s">
        <v>1454</v>
      </c>
      <c r="H190" s="2" t="s">
        <v>1455</v>
      </c>
      <c r="I190" s="15">
        <v>2</v>
      </c>
    </row>
    <row r="191" spans="1:9" ht="13" x14ac:dyDescent="0.15">
      <c r="A191" s="2" t="s">
        <v>512</v>
      </c>
      <c r="B191" s="14" t="s">
        <v>983</v>
      </c>
      <c r="C191" s="14" t="str">
        <f t="shared" si="0"/>
        <v>How many uppercase letters are in the word \"United Nations Children’s Fund\"?</v>
      </c>
      <c r="D191" s="14" t="str">
        <f t="shared" si="1"/>
        <v>Ilang malaking titik ang mayroon sa salitang \"United Nations Children’s Fund\"?</v>
      </c>
      <c r="E191" s="14">
        <f t="shared" si="2"/>
        <v>4</v>
      </c>
      <c r="F191" s="14" t="s">
        <v>1456</v>
      </c>
      <c r="G191" s="14" t="s">
        <v>1457</v>
      </c>
      <c r="H191" s="2" t="s">
        <v>1458</v>
      </c>
      <c r="I191" s="15">
        <v>4</v>
      </c>
    </row>
    <row r="192" spans="1:9" ht="13" x14ac:dyDescent="0.15">
      <c r="A192" s="2" t="s">
        <v>512</v>
      </c>
      <c r="B192" s="14" t="s">
        <v>983</v>
      </c>
      <c r="C192" s="14" t="str">
        <f t="shared" si="0"/>
        <v>How many uppercase letters are in the word \"Star of David\"?</v>
      </c>
      <c r="D192" s="14" t="str">
        <f t="shared" si="1"/>
        <v>Ilang malaking titik ang mayroon sa salitang \"Star of David\"?</v>
      </c>
      <c r="E192" s="14">
        <f t="shared" si="2"/>
        <v>2</v>
      </c>
      <c r="F192" s="14" t="s">
        <v>1459</v>
      </c>
      <c r="G192" s="14" t="s">
        <v>1460</v>
      </c>
      <c r="H192" s="2" t="s">
        <v>1461</v>
      </c>
      <c r="I192" s="15">
        <v>2</v>
      </c>
    </row>
    <row r="193" spans="1:9" ht="13" x14ac:dyDescent="0.15">
      <c r="A193" s="2" t="s">
        <v>512</v>
      </c>
      <c r="B193" s="14" t="s">
        <v>983</v>
      </c>
      <c r="C193" s="14" t="str">
        <f t="shared" si="0"/>
        <v>How many uppercase letters are in the word \"Proxima Centauri\"?</v>
      </c>
      <c r="D193" s="14" t="str">
        <f t="shared" si="1"/>
        <v>Ilang malaking titik ang mayroon sa salitang \"Proxima Centauri\"?</v>
      </c>
      <c r="E193" s="14">
        <f t="shared" si="2"/>
        <v>2</v>
      </c>
      <c r="F193" s="14" t="s">
        <v>1462</v>
      </c>
      <c r="G193" s="14" t="s">
        <v>1463</v>
      </c>
      <c r="H193" s="2" t="s">
        <v>1464</v>
      </c>
      <c r="I193" s="15">
        <v>2</v>
      </c>
    </row>
    <row r="194" spans="1:9" ht="13" x14ac:dyDescent="0.15">
      <c r="A194" s="2" t="s">
        <v>512</v>
      </c>
      <c r="B194" s="14" t="s">
        <v>983</v>
      </c>
      <c r="C194" s="14" t="str">
        <f t="shared" si="0"/>
        <v>How many uppercase letters are in the word \"Church of England\"?</v>
      </c>
      <c r="D194" s="14" t="str">
        <f t="shared" si="1"/>
        <v>Ilang malaking titik ang mayroon sa salitang \"Church of England\"?</v>
      </c>
      <c r="E194" s="14">
        <f t="shared" si="2"/>
        <v>2</v>
      </c>
      <c r="F194" s="14" t="s">
        <v>1465</v>
      </c>
      <c r="G194" s="14" t="s">
        <v>1466</v>
      </c>
      <c r="H194" s="2" t="s">
        <v>1467</v>
      </c>
      <c r="I194" s="15">
        <v>2</v>
      </c>
    </row>
    <row r="195" spans="1:9" ht="13" x14ac:dyDescent="0.15">
      <c r="A195" s="2" t="s">
        <v>512</v>
      </c>
      <c r="B195" s="14" t="s">
        <v>983</v>
      </c>
      <c r="C195" s="14" t="str">
        <f t="shared" si="0"/>
        <v>How many uppercase letters are in the word \"Caribbean Sea\"?</v>
      </c>
      <c r="D195" s="14" t="str">
        <f t="shared" si="1"/>
        <v>Ilang malaking titik ang mayroon sa salitang \"Caribbean Sea\"?</v>
      </c>
      <c r="E195" s="14">
        <f t="shared" si="2"/>
        <v>2</v>
      </c>
      <c r="F195" s="14" t="s">
        <v>1468</v>
      </c>
      <c r="G195" s="14" t="s">
        <v>1469</v>
      </c>
      <c r="H195" s="2" t="s">
        <v>1470</v>
      </c>
      <c r="I195" s="15">
        <v>2</v>
      </c>
    </row>
    <row r="196" spans="1:9" ht="13" x14ac:dyDescent="0.15">
      <c r="A196" s="2" t="s">
        <v>512</v>
      </c>
      <c r="B196" s="14" t="s">
        <v>983</v>
      </c>
      <c r="C196" s="14" t="str">
        <f t="shared" si="0"/>
        <v>How many uppercase letters are in the word \"International Monetary Fund\"?</v>
      </c>
      <c r="D196" s="14" t="str">
        <f t="shared" si="1"/>
        <v>Ilang malaking titik ang mayroon sa salitang \"International Monetary Fund\"?</v>
      </c>
      <c r="E196" s="14">
        <f t="shared" si="2"/>
        <v>3</v>
      </c>
      <c r="F196" s="14" t="s">
        <v>1471</v>
      </c>
      <c r="G196" s="14" t="s">
        <v>1472</v>
      </c>
      <c r="H196" s="2" t="s">
        <v>1473</v>
      </c>
      <c r="I196" s="15">
        <v>3</v>
      </c>
    </row>
    <row r="197" spans="1:9" ht="13" x14ac:dyDescent="0.15">
      <c r="A197" s="2" t="s">
        <v>512</v>
      </c>
      <c r="B197" s="14" t="s">
        <v>983</v>
      </c>
      <c r="C197" s="14" t="str">
        <f t="shared" si="0"/>
        <v>How many uppercase letters are in the word \"Dagat China\"?</v>
      </c>
      <c r="D197" s="14" t="str">
        <f t="shared" si="1"/>
        <v>Ilang malaking titik ang mayroon sa salitang \"Dagat China\"?</v>
      </c>
      <c r="E197" s="14">
        <f t="shared" si="2"/>
        <v>2</v>
      </c>
      <c r="F197" s="14" t="s">
        <v>1474</v>
      </c>
      <c r="G197" s="14" t="s">
        <v>1475</v>
      </c>
      <c r="H197" s="2" t="s">
        <v>1476</v>
      </c>
      <c r="I197" s="15">
        <v>2</v>
      </c>
    </row>
    <row r="198" spans="1:9" ht="13" x14ac:dyDescent="0.15">
      <c r="A198" s="2" t="s">
        <v>512</v>
      </c>
      <c r="B198" s="14" t="s">
        <v>983</v>
      </c>
      <c r="C198" s="14" t="str">
        <f t="shared" si="0"/>
        <v>How many uppercase letters are in the word \"VD\"?</v>
      </c>
      <c r="D198" s="14" t="str">
        <f t="shared" si="1"/>
        <v>Ilang malaking titik ang mayroon sa salitang \"VD\"?</v>
      </c>
      <c r="E198" s="14">
        <f t="shared" si="2"/>
        <v>2</v>
      </c>
      <c r="F198" s="14" t="s">
        <v>1477</v>
      </c>
      <c r="G198" s="14" t="s">
        <v>1478</v>
      </c>
      <c r="H198" s="2" t="s">
        <v>1479</v>
      </c>
      <c r="I198" s="15">
        <v>2</v>
      </c>
    </row>
    <row r="199" spans="1:9" ht="13" x14ac:dyDescent="0.15">
      <c r="A199" s="2" t="s">
        <v>512</v>
      </c>
      <c r="B199" s="14" t="s">
        <v>983</v>
      </c>
      <c r="C199" s="14" t="str">
        <f t="shared" si="0"/>
        <v>How many uppercase letters are in the word \"Opus Dei\"?</v>
      </c>
      <c r="D199" s="14" t="str">
        <f t="shared" si="1"/>
        <v>Ilang malaking titik ang mayroon sa salitang \"Opus Dei\"?</v>
      </c>
      <c r="E199" s="14">
        <f t="shared" si="2"/>
        <v>2</v>
      </c>
      <c r="F199" s="14" t="s">
        <v>1480</v>
      </c>
      <c r="G199" s="14" t="s">
        <v>1481</v>
      </c>
      <c r="H199" s="2" t="s">
        <v>1482</v>
      </c>
      <c r="I199" s="15">
        <v>2</v>
      </c>
    </row>
    <row r="200" spans="1:9" ht="13" x14ac:dyDescent="0.15">
      <c r="A200" s="2" t="s">
        <v>512</v>
      </c>
      <c r="B200" s="14" t="s">
        <v>983</v>
      </c>
      <c r="C200" s="14" t="str">
        <f t="shared" si="0"/>
        <v>How many uppercase letters are in the word \"ASEAN\"?</v>
      </c>
      <c r="D200" s="14" t="str">
        <f t="shared" si="1"/>
        <v>Ilang malaking titik ang mayroon sa salitang \"ASEAN\"?</v>
      </c>
      <c r="E200" s="14">
        <f t="shared" si="2"/>
        <v>5</v>
      </c>
      <c r="F200" s="14" t="s">
        <v>1483</v>
      </c>
      <c r="G200" s="14" t="s">
        <v>1484</v>
      </c>
      <c r="H200" s="2" t="s">
        <v>1485</v>
      </c>
      <c r="I200" s="15">
        <v>5</v>
      </c>
    </row>
    <row r="201" spans="1:9" ht="13" x14ac:dyDescent="0.15">
      <c r="A201" s="2" t="s">
        <v>512</v>
      </c>
      <c r="B201" s="14" t="s">
        <v>983</v>
      </c>
      <c r="C201" s="14" t="str">
        <f t="shared" si="0"/>
        <v>How many uppercase letters are in the word \"Mediterranean Sea\"?</v>
      </c>
      <c r="D201" s="14" t="str">
        <f t="shared" si="1"/>
        <v>Ilang malaking titik ang mayroon sa salitang \"Mediterranean Sea\"?</v>
      </c>
      <c r="E201" s="14">
        <f t="shared" si="2"/>
        <v>2</v>
      </c>
      <c r="F201" s="14" t="s">
        <v>1486</v>
      </c>
      <c r="G201" s="14" t="s">
        <v>1487</v>
      </c>
      <c r="H201" s="2" t="s">
        <v>1488</v>
      </c>
      <c r="I201" s="15">
        <v>2</v>
      </c>
    </row>
    <row r="202" spans="1:9" ht="13" x14ac:dyDescent="0.15">
      <c r="A202" s="2" t="s">
        <v>512</v>
      </c>
      <c r="B202" s="14" t="s">
        <v>983</v>
      </c>
      <c r="C202" s="14" t="str">
        <f t="shared" si="0"/>
        <v>How many uppercase letters are in the word \"Kumbensiyong Tejeros\"?</v>
      </c>
      <c r="D202" s="14" t="str">
        <f t="shared" si="1"/>
        <v>Ilang malaking titik ang mayroon sa salitang \"Kumbensiyong Tejeros\"?</v>
      </c>
      <c r="E202" s="14">
        <f t="shared" si="2"/>
        <v>2</v>
      </c>
      <c r="F202" s="14" t="s">
        <v>1489</v>
      </c>
      <c r="G202" s="14" t="s">
        <v>1490</v>
      </c>
      <c r="H202" s="2" t="s">
        <v>1491</v>
      </c>
      <c r="I202" s="15">
        <v>2</v>
      </c>
    </row>
    <row r="203" spans="1:9" ht="13" x14ac:dyDescent="0.15">
      <c r="A203" s="2" t="s">
        <v>512</v>
      </c>
      <c r="B203" s="14" t="s">
        <v>983</v>
      </c>
      <c r="C203" s="14" t="str">
        <f t="shared" si="0"/>
        <v>How many uppercase letters are in the word \"Republikang Malolos\"?</v>
      </c>
      <c r="D203" s="14" t="str">
        <f t="shared" si="1"/>
        <v>Ilang malaking titik ang mayroon sa salitang \"Republikang Malolos\"?</v>
      </c>
      <c r="E203" s="14">
        <f t="shared" si="2"/>
        <v>2</v>
      </c>
      <c r="F203" s="14" t="s">
        <v>1492</v>
      </c>
      <c r="G203" s="14" t="s">
        <v>1493</v>
      </c>
      <c r="H203" s="2" t="s">
        <v>1494</v>
      </c>
      <c r="I203" s="15">
        <v>2</v>
      </c>
    </row>
    <row r="204" spans="1:9" ht="13" x14ac:dyDescent="0.15">
      <c r="A204" s="2" t="s">
        <v>512</v>
      </c>
      <c r="B204" s="14" t="s">
        <v>983</v>
      </c>
      <c r="C204" s="14" t="str">
        <f t="shared" si="0"/>
        <v>How many uppercase letters are in the word \"Sexually Transmitted Disease\"?</v>
      </c>
      <c r="D204" s="14" t="str">
        <f t="shared" si="1"/>
        <v>Ilang malaking titik ang mayroon sa salitang \"Sexually Transmitted Disease\"?</v>
      </c>
      <c r="E204" s="14">
        <f t="shared" si="2"/>
        <v>3</v>
      </c>
      <c r="F204" s="14" t="s">
        <v>1495</v>
      </c>
      <c r="G204" s="14" t="s">
        <v>1496</v>
      </c>
      <c r="H204" s="2" t="s">
        <v>1497</v>
      </c>
      <c r="I204" s="15">
        <v>3</v>
      </c>
    </row>
    <row r="205" spans="1:9" ht="13" x14ac:dyDescent="0.15">
      <c r="A205" s="2" t="s">
        <v>512</v>
      </c>
      <c r="B205" s="14" t="s">
        <v>983</v>
      </c>
      <c r="C205" s="14" t="str">
        <f t="shared" si="0"/>
        <v>How many uppercase letters are in the word \"Prisoner of War\"?</v>
      </c>
      <c r="D205" s="14" t="str">
        <f t="shared" si="1"/>
        <v>Ilang malaking titik ang mayroon sa salitang \"Prisoner of War\"?</v>
      </c>
      <c r="E205" s="14">
        <f t="shared" si="2"/>
        <v>2</v>
      </c>
      <c r="F205" s="14" t="s">
        <v>1498</v>
      </c>
      <c r="G205" s="14" t="s">
        <v>1499</v>
      </c>
      <c r="H205" s="2" t="s">
        <v>1500</v>
      </c>
      <c r="I205" s="15">
        <v>2</v>
      </c>
    </row>
    <row r="206" spans="1:9" ht="13" x14ac:dyDescent="0.15">
      <c r="A206" s="2" t="s">
        <v>512</v>
      </c>
      <c r="B206" s="14" t="s">
        <v>983</v>
      </c>
      <c r="C206" s="14" t="str">
        <f t="shared" si="0"/>
        <v>How many uppercase letters are in the word \"Pitong Wika\"?</v>
      </c>
      <c r="D206" s="14" t="str">
        <f t="shared" si="1"/>
        <v>Ilang malaking titik ang mayroon sa salitang \"Pitong Wika\"?</v>
      </c>
      <c r="E206" s="14">
        <f t="shared" si="2"/>
        <v>2</v>
      </c>
      <c r="F206" s="14" t="s">
        <v>1501</v>
      </c>
      <c r="G206" s="14" t="s">
        <v>1502</v>
      </c>
      <c r="H206" s="2" t="s">
        <v>1503</v>
      </c>
      <c r="I206" s="15">
        <v>2</v>
      </c>
    </row>
    <row r="207" spans="1:9" ht="13" x14ac:dyDescent="0.15">
      <c r="A207" s="2" t="s">
        <v>512</v>
      </c>
      <c r="B207" s="14" t="s">
        <v>983</v>
      </c>
      <c r="C207" s="14" t="str">
        <f t="shared" si="0"/>
        <v>How many uppercase letters are in the word \"UNIDO\"?</v>
      </c>
      <c r="D207" s="14" t="str">
        <f t="shared" si="1"/>
        <v>Ilang malaking titik ang mayroon sa salitang \"UNIDO\"?</v>
      </c>
      <c r="E207" s="14">
        <f t="shared" si="2"/>
        <v>5</v>
      </c>
      <c r="F207" s="14" t="s">
        <v>1504</v>
      </c>
      <c r="G207" s="14" t="s">
        <v>1505</v>
      </c>
      <c r="H207" s="2" t="s">
        <v>1506</v>
      </c>
      <c r="I207" s="15">
        <v>5</v>
      </c>
    </row>
    <row r="208" spans="1:9" ht="13" x14ac:dyDescent="0.15">
      <c r="A208" s="2" t="s">
        <v>512</v>
      </c>
      <c r="B208" s="14" t="s">
        <v>983</v>
      </c>
      <c r="C208" s="14" t="str">
        <f t="shared" si="0"/>
        <v>How many uppercase letters are in the word \"Union of Soviet Socialist Republics\"?</v>
      </c>
      <c r="D208" s="14" t="str">
        <f t="shared" si="1"/>
        <v>Ilang malaking titik ang mayroon sa salitang \"Union of Soviet Socialist Republics\"?</v>
      </c>
      <c r="E208" s="14">
        <f t="shared" si="2"/>
        <v>4</v>
      </c>
      <c r="F208" s="14" t="s">
        <v>1507</v>
      </c>
      <c r="G208" s="14" t="s">
        <v>1508</v>
      </c>
      <c r="H208" s="2" t="s">
        <v>1509</v>
      </c>
      <c r="I208" s="15">
        <v>4</v>
      </c>
    </row>
    <row r="209" spans="1:9" ht="13" x14ac:dyDescent="0.15">
      <c r="A209" s="2" t="s">
        <v>512</v>
      </c>
      <c r="B209" s="14" t="s">
        <v>983</v>
      </c>
      <c r="C209" s="14" t="str">
        <f t="shared" si="0"/>
        <v>How many uppercase letters are in the word \"Maria Makiling\"?</v>
      </c>
      <c r="D209" s="14" t="str">
        <f t="shared" si="1"/>
        <v>Ilang malaking titik ang mayroon sa salitang \"Maria Makiling\"?</v>
      </c>
      <c r="E209" s="14">
        <f t="shared" si="2"/>
        <v>2</v>
      </c>
      <c r="F209" s="14" t="s">
        <v>1510</v>
      </c>
      <c r="G209" s="14" t="s">
        <v>1511</v>
      </c>
      <c r="H209" s="2" t="s">
        <v>1512</v>
      </c>
      <c r="I209" s="15">
        <v>2</v>
      </c>
    </row>
    <row r="210" spans="1:9" ht="13" x14ac:dyDescent="0.15">
      <c r="A210" s="2" t="s">
        <v>512</v>
      </c>
      <c r="B210" s="14" t="s">
        <v>983</v>
      </c>
      <c r="C210" s="14" t="str">
        <f t="shared" si="0"/>
        <v>How many uppercase letters are in the word \"Banal na Espiritu\"?</v>
      </c>
      <c r="D210" s="14" t="str">
        <f t="shared" si="1"/>
        <v>Ilang malaking titik ang mayroon sa salitang \"Banal na Espiritu\"?</v>
      </c>
      <c r="E210" s="14">
        <f t="shared" si="2"/>
        <v>2</v>
      </c>
      <c r="F210" s="14" t="s">
        <v>1513</v>
      </c>
      <c r="G210" s="14" t="s">
        <v>1514</v>
      </c>
      <c r="H210" s="2" t="s">
        <v>1515</v>
      </c>
      <c r="I210" s="15">
        <v>2</v>
      </c>
    </row>
    <row r="211" spans="1:9" ht="13" x14ac:dyDescent="0.15">
      <c r="A211" s="2" t="s">
        <v>512</v>
      </c>
      <c r="B211" s="14" t="s">
        <v>983</v>
      </c>
      <c r="C211" s="14" t="str">
        <f t="shared" si="0"/>
        <v>How many uppercase letters are in the word \"Doctor of Laws\"?</v>
      </c>
      <c r="D211" s="14" t="str">
        <f t="shared" si="1"/>
        <v>Ilang malaking titik ang mayroon sa salitang \"Doctor of Laws\"?</v>
      </c>
      <c r="E211" s="14">
        <f t="shared" si="2"/>
        <v>2</v>
      </c>
      <c r="F211" s="14" t="s">
        <v>1516</v>
      </c>
      <c r="G211" s="14" t="s">
        <v>1517</v>
      </c>
      <c r="H211" s="2" t="s">
        <v>1518</v>
      </c>
      <c r="I211" s="15">
        <v>2</v>
      </c>
    </row>
    <row r="212" spans="1:9" ht="13" x14ac:dyDescent="0.15">
      <c r="A212" s="2" t="s">
        <v>512</v>
      </c>
      <c r="B212" s="14" t="s">
        <v>983</v>
      </c>
      <c r="C212" s="14" t="str">
        <f t="shared" si="0"/>
        <v>How many uppercase letters are in the word \"Para! Pdd\"?</v>
      </c>
      <c r="D212" s="14" t="str">
        <f t="shared" si="1"/>
        <v>Ilang malaking titik ang mayroon sa salitang \"Para! Pdd\"?</v>
      </c>
      <c r="E212" s="14">
        <f t="shared" si="2"/>
        <v>2</v>
      </c>
      <c r="F212" s="14" t="s">
        <v>1519</v>
      </c>
      <c r="G212" s="14" t="s">
        <v>1520</v>
      </c>
      <c r="H212" s="2" t="s">
        <v>1521</v>
      </c>
      <c r="I212" s="15">
        <v>2</v>
      </c>
    </row>
    <row r="213" spans="1:9" ht="13" x14ac:dyDescent="0.15">
      <c r="A213" s="2" t="s">
        <v>512</v>
      </c>
      <c r="B213" s="14" t="s">
        <v>983</v>
      </c>
      <c r="C213" s="14" t="str">
        <f t="shared" si="0"/>
        <v>How many uppercase letters are in the word \"TKO\"?</v>
      </c>
      <c r="D213" s="14" t="str">
        <f t="shared" si="1"/>
        <v>Ilang malaking titik ang mayroon sa salitang \"TKO\"?</v>
      </c>
      <c r="E213" s="14">
        <f t="shared" si="2"/>
        <v>3</v>
      </c>
      <c r="F213" s="14" t="s">
        <v>1522</v>
      </c>
      <c r="G213" s="14" t="s">
        <v>1523</v>
      </c>
      <c r="H213" s="2" t="s">
        <v>1524</v>
      </c>
      <c r="I213" s="15">
        <v>3</v>
      </c>
    </row>
    <row r="214" spans="1:9" ht="13" x14ac:dyDescent="0.15">
      <c r="A214" s="2" t="s">
        <v>512</v>
      </c>
      <c r="B214" s="14" t="s">
        <v>983</v>
      </c>
      <c r="C214" s="14" t="str">
        <f t="shared" si="0"/>
        <v>How many uppercase letters are in the word \"Gitnang Cordillera\"?</v>
      </c>
      <c r="D214" s="14" t="str">
        <f t="shared" si="1"/>
        <v>Ilang malaking titik ang mayroon sa salitang \"Gitnang Cordillera\"?</v>
      </c>
      <c r="E214" s="14">
        <f t="shared" si="2"/>
        <v>2</v>
      </c>
      <c r="F214" s="14" t="s">
        <v>1525</v>
      </c>
      <c r="G214" s="14" t="s">
        <v>1526</v>
      </c>
      <c r="H214" s="2" t="s">
        <v>1527</v>
      </c>
      <c r="I214" s="15">
        <v>2</v>
      </c>
    </row>
    <row r="215" spans="1:9" ht="13" x14ac:dyDescent="0.15">
      <c r="A215" s="2" t="s">
        <v>512</v>
      </c>
      <c r="B215" s="14" t="s">
        <v>983</v>
      </c>
      <c r="C215" s="14" t="str">
        <f t="shared" si="0"/>
        <v>How many uppercase letters are in the word \"Tau’t Batu\"?</v>
      </c>
      <c r="D215" s="14" t="str">
        <f t="shared" si="1"/>
        <v>Ilang malaking titik ang mayroon sa salitang \"Tau’t Batu\"?</v>
      </c>
      <c r="E215" s="14">
        <f t="shared" si="2"/>
        <v>2</v>
      </c>
      <c r="F215" s="14" t="s">
        <v>1528</v>
      </c>
      <c r="G215" s="14" t="s">
        <v>1529</v>
      </c>
      <c r="H215" s="2" t="s">
        <v>1530</v>
      </c>
      <c r="I215" s="15">
        <v>2</v>
      </c>
    </row>
    <row r="216" spans="1:9" ht="13" x14ac:dyDescent="0.15">
      <c r="A216" s="2" t="s">
        <v>512</v>
      </c>
      <c r="B216" s="14" t="s">
        <v>983</v>
      </c>
      <c r="C216" s="14" t="str">
        <f t="shared" si="0"/>
        <v>How many uppercase letters are in the word \"MD\"?</v>
      </c>
      <c r="D216" s="14" t="str">
        <f t="shared" si="1"/>
        <v>Ilang malaking titik ang mayroon sa salitang \"MD\"?</v>
      </c>
      <c r="E216" s="14">
        <f t="shared" si="2"/>
        <v>2</v>
      </c>
      <c r="F216" s="14" t="s">
        <v>1531</v>
      </c>
      <c r="G216" s="14" t="s">
        <v>1532</v>
      </c>
      <c r="H216" s="2" t="s">
        <v>1533</v>
      </c>
      <c r="I216" s="15">
        <v>2</v>
      </c>
    </row>
    <row r="217" spans="1:9" ht="13" x14ac:dyDescent="0.15">
      <c r="A217" s="2" t="s">
        <v>512</v>
      </c>
      <c r="B217" s="14" t="s">
        <v>983</v>
      </c>
      <c r="C217" s="14" t="str">
        <f t="shared" si="0"/>
        <v>How many uppercase letters are in the word \"Ikatlong Daigdig\"?</v>
      </c>
      <c r="D217" s="14" t="str">
        <f t="shared" si="1"/>
        <v>Ilang malaking titik ang mayroon sa salitang \"Ikatlong Daigdig\"?</v>
      </c>
      <c r="E217" s="14">
        <f t="shared" si="2"/>
        <v>2</v>
      </c>
      <c r="F217" s="14" t="s">
        <v>1534</v>
      </c>
      <c r="G217" s="14" t="s">
        <v>1535</v>
      </c>
      <c r="H217" s="2" t="s">
        <v>1536</v>
      </c>
      <c r="I217" s="15">
        <v>2</v>
      </c>
    </row>
    <row r="218" spans="1:9" ht="13" x14ac:dyDescent="0.15">
      <c r="A218" s="2" t="s">
        <v>512</v>
      </c>
      <c r="B218" s="14" t="s">
        <v>983</v>
      </c>
      <c r="C218" s="14" t="str">
        <f t="shared" si="0"/>
        <v>How many uppercase letters are in the word \"Pater Noster\"?</v>
      </c>
      <c r="D218" s="14" t="str">
        <f t="shared" si="1"/>
        <v>Ilang malaking titik ang mayroon sa salitang \"Pater Noster\"?</v>
      </c>
      <c r="E218" s="14">
        <f t="shared" si="2"/>
        <v>2</v>
      </c>
      <c r="F218" s="14" t="s">
        <v>1537</v>
      </c>
      <c r="G218" s="14" t="s">
        <v>1538</v>
      </c>
      <c r="H218" s="2" t="s">
        <v>1539</v>
      </c>
      <c r="I218" s="15">
        <v>2</v>
      </c>
    </row>
    <row r="219" spans="1:9" ht="13" x14ac:dyDescent="0.15">
      <c r="A219" s="2" t="s">
        <v>512</v>
      </c>
      <c r="B219" s="14" t="s">
        <v>983</v>
      </c>
      <c r="C219" s="14" t="str">
        <f t="shared" si="0"/>
        <v>How many uppercase letters are in the word \"Save Our Souls\"?</v>
      </c>
      <c r="D219" s="14" t="str">
        <f t="shared" si="1"/>
        <v>Ilang malaking titik ang mayroon sa salitang \"Save Our Souls\"?</v>
      </c>
      <c r="E219" s="14">
        <f t="shared" si="2"/>
        <v>3</v>
      </c>
      <c r="F219" s="14" t="s">
        <v>1540</v>
      </c>
      <c r="G219" s="14" t="s">
        <v>1541</v>
      </c>
      <c r="H219" s="2" t="s">
        <v>1542</v>
      </c>
      <c r="I219" s="15">
        <v>3</v>
      </c>
    </row>
    <row r="220" spans="1:9" ht="13" x14ac:dyDescent="0.15">
      <c r="A220" s="2" t="s">
        <v>512</v>
      </c>
      <c r="B220" s="14" t="s">
        <v>983</v>
      </c>
      <c r="C220" s="14" t="str">
        <f t="shared" si="0"/>
        <v>How many uppercase letters are in the word \"PLO\"?</v>
      </c>
      <c r="D220" s="14" t="str">
        <f t="shared" si="1"/>
        <v>Ilang malaking titik ang mayroon sa salitang \"PLO\"?</v>
      </c>
      <c r="E220" s="14">
        <f t="shared" si="2"/>
        <v>3</v>
      </c>
      <c r="F220" s="14" t="s">
        <v>1543</v>
      </c>
      <c r="G220" s="14" t="s">
        <v>1544</v>
      </c>
      <c r="H220" s="2" t="s">
        <v>1545</v>
      </c>
      <c r="I220" s="15">
        <v>3</v>
      </c>
    </row>
    <row r="221" spans="1:9" ht="13" x14ac:dyDescent="0.15">
      <c r="A221" s="2" t="s">
        <v>512</v>
      </c>
      <c r="B221" s="14" t="s">
        <v>983</v>
      </c>
      <c r="C221" s="14" t="str">
        <f t="shared" si="0"/>
        <v>How many uppercase letters are in the word \"IRRI\"?</v>
      </c>
      <c r="D221" s="14" t="str">
        <f t="shared" si="1"/>
        <v>Ilang malaking titik ang mayroon sa salitang \"IRRI\"?</v>
      </c>
      <c r="E221" s="14">
        <f t="shared" si="2"/>
        <v>4</v>
      </c>
      <c r="F221" s="14" t="s">
        <v>1546</v>
      </c>
      <c r="G221" s="14" t="s">
        <v>1547</v>
      </c>
      <c r="H221" s="2" t="s">
        <v>1548</v>
      </c>
      <c r="I221" s="15">
        <v>4</v>
      </c>
    </row>
    <row r="222" spans="1:9" ht="13" x14ac:dyDescent="0.15">
      <c r="A222" s="2" t="s">
        <v>512</v>
      </c>
      <c r="B222" s="14" t="s">
        <v>983</v>
      </c>
      <c r="C222" s="14" t="str">
        <f t="shared" si="0"/>
        <v>How many uppercase letters are in the word \"Mga Kronika\"?</v>
      </c>
      <c r="D222" s="14" t="str">
        <f t="shared" si="1"/>
        <v>Ilang malaking titik ang mayroon sa salitang \"Mga Kronika\"?</v>
      </c>
      <c r="E222" s="14">
        <f t="shared" si="2"/>
        <v>2</v>
      </c>
      <c r="F222" s="14" t="s">
        <v>1549</v>
      </c>
      <c r="G222" s="14" t="s">
        <v>1550</v>
      </c>
      <c r="H222" s="2" t="s">
        <v>1551</v>
      </c>
      <c r="I222" s="15">
        <v>2</v>
      </c>
    </row>
    <row r="223" spans="1:9" ht="13" x14ac:dyDescent="0.15">
      <c r="A223" s="2" t="s">
        <v>512</v>
      </c>
      <c r="B223" s="14" t="s">
        <v>983</v>
      </c>
      <c r="C223" s="14" t="str">
        <f t="shared" si="0"/>
        <v>How many uppercase letters are in the word \"MIPS\"?</v>
      </c>
      <c r="D223" s="14" t="str">
        <f t="shared" si="1"/>
        <v>Ilang malaking titik ang mayroon sa salitang \"MIPS\"?</v>
      </c>
      <c r="E223" s="14">
        <f t="shared" si="2"/>
        <v>4</v>
      </c>
      <c r="F223" s="14" t="s">
        <v>1552</v>
      </c>
      <c r="G223" s="14" t="s">
        <v>1553</v>
      </c>
      <c r="H223" s="2" t="s">
        <v>1554</v>
      </c>
      <c r="I223" s="15">
        <v>4</v>
      </c>
    </row>
    <row r="224" spans="1:9" ht="13" x14ac:dyDescent="0.15">
      <c r="A224" s="2" t="s">
        <v>512</v>
      </c>
      <c r="B224" s="14" t="s">
        <v>983</v>
      </c>
      <c r="C224" s="14" t="str">
        <f t="shared" si="0"/>
        <v>How many uppercase letters are in the word \"Ilog Ionian\"?</v>
      </c>
      <c r="D224" s="14" t="str">
        <f t="shared" si="1"/>
        <v>Ilang malaking titik ang mayroon sa salitang \"Ilog Ionian\"?</v>
      </c>
      <c r="E224" s="14">
        <f t="shared" si="2"/>
        <v>2</v>
      </c>
      <c r="F224" s="14" t="s">
        <v>1555</v>
      </c>
      <c r="G224" s="14" t="s">
        <v>1556</v>
      </c>
      <c r="H224" s="2" t="s">
        <v>1557</v>
      </c>
      <c r="I224" s="15">
        <v>2</v>
      </c>
    </row>
    <row r="225" spans="1:9" ht="13" x14ac:dyDescent="0.15">
      <c r="A225" s="2" t="s">
        <v>512</v>
      </c>
      <c r="B225" s="14" t="s">
        <v>983</v>
      </c>
      <c r="C225" s="14" t="str">
        <f t="shared" si="0"/>
        <v>How many uppercase letters are in the word \"Ines Kannoyan\"?</v>
      </c>
      <c r="D225" s="14" t="str">
        <f t="shared" si="1"/>
        <v>Ilang malaking titik ang mayroon sa salitang \"Ines Kannoyan\"?</v>
      </c>
      <c r="E225" s="14">
        <f t="shared" si="2"/>
        <v>2</v>
      </c>
      <c r="F225" s="14" t="s">
        <v>1558</v>
      </c>
      <c r="G225" s="14" t="s">
        <v>1559</v>
      </c>
      <c r="H225" s="2" t="s">
        <v>1560</v>
      </c>
      <c r="I225" s="15">
        <v>2</v>
      </c>
    </row>
    <row r="226" spans="1:9" ht="13" x14ac:dyDescent="0.15">
      <c r="A226" s="2" t="s">
        <v>512</v>
      </c>
      <c r="B226" s="14" t="s">
        <v>983</v>
      </c>
      <c r="C226" s="14" t="str">
        <f t="shared" si="0"/>
        <v>How many uppercase letters are in the word \"Irish Republican Army\"?</v>
      </c>
      <c r="D226" s="14" t="str">
        <f t="shared" si="1"/>
        <v>Ilang malaking titik ang mayroon sa salitang \"Irish Republican Army\"?</v>
      </c>
      <c r="E226" s="14">
        <f t="shared" si="2"/>
        <v>3</v>
      </c>
      <c r="F226" s="14" t="s">
        <v>1561</v>
      </c>
      <c r="G226" s="14" t="s">
        <v>1562</v>
      </c>
      <c r="H226" s="2" t="s">
        <v>1563</v>
      </c>
      <c r="I226" s="15">
        <v>3</v>
      </c>
    </row>
    <row r="227" spans="1:9" ht="13" x14ac:dyDescent="0.15">
      <c r="A227" s="2" t="s">
        <v>512</v>
      </c>
      <c r="B227" s="14" t="s">
        <v>983</v>
      </c>
      <c r="C227" s="14" t="str">
        <f t="shared" si="0"/>
        <v>How many uppercase letters are in the word \"Judgment Day\"?</v>
      </c>
      <c r="D227" s="14" t="str">
        <f t="shared" si="1"/>
        <v>Ilang malaking titik ang mayroon sa salitang \"Judgment Day\"?</v>
      </c>
      <c r="E227" s="14">
        <f t="shared" si="2"/>
        <v>2</v>
      </c>
      <c r="F227" s="14" t="s">
        <v>1564</v>
      </c>
      <c r="G227" s="14" t="s">
        <v>1565</v>
      </c>
      <c r="H227" s="2" t="s">
        <v>1566</v>
      </c>
      <c r="I227" s="15">
        <v>2</v>
      </c>
    </row>
    <row r="228" spans="1:9" ht="13" x14ac:dyDescent="0.15">
      <c r="A228" s="2" t="s">
        <v>512</v>
      </c>
      <c r="B228" s="14" t="s">
        <v>983</v>
      </c>
      <c r="C228" s="14" t="str">
        <f t="shared" si="0"/>
        <v>How many uppercase letters are in the word \"Donya Victorina\"?</v>
      </c>
      <c r="D228" s="14" t="str">
        <f t="shared" si="1"/>
        <v>Ilang malaking titik ang mayroon sa salitang \"Donya Victorina\"?</v>
      </c>
      <c r="E228" s="14">
        <f t="shared" si="2"/>
        <v>2</v>
      </c>
      <c r="F228" s="14" t="s">
        <v>1567</v>
      </c>
      <c r="G228" s="14" t="s">
        <v>1568</v>
      </c>
      <c r="H228" s="2" t="s">
        <v>1569</v>
      </c>
      <c r="I228" s="15">
        <v>2</v>
      </c>
    </row>
    <row r="229" spans="1:9" ht="13" x14ac:dyDescent="0.15">
      <c r="A229" s="2" t="s">
        <v>512</v>
      </c>
      <c r="B229" s="14" t="s">
        <v>983</v>
      </c>
      <c r="C229" s="14" t="str">
        <f t="shared" si="0"/>
        <v>How many uppercase letters are in the word \"Flores de Mayo\"?</v>
      </c>
      <c r="D229" s="14" t="str">
        <f t="shared" si="1"/>
        <v>Ilang malaking titik ang mayroon sa salitang \"Flores de Mayo\"?</v>
      </c>
      <c r="E229" s="14">
        <f t="shared" si="2"/>
        <v>2</v>
      </c>
      <c r="F229" s="14" t="s">
        <v>1570</v>
      </c>
      <c r="G229" s="14" t="s">
        <v>1571</v>
      </c>
      <c r="H229" s="2" t="s">
        <v>1572</v>
      </c>
      <c r="I229" s="15">
        <v>2</v>
      </c>
    </row>
    <row r="230" spans="1:9" ht="13" x14ac:dyDescent="0.15">
      <c r="A230" s="2" t="s">
        <v>512</v>
      </c>
      <c r="B230" s="14" t="s">
        <v>983</v>
      </c>
      <c r="C230" s="14" t="str">
        <f t="shared" si="0"/>
        <v>How many uppercase letters are in the word \"Todos los Santos\"?</v>
      </c>
      <c r="D230" s="14" t="str">
        <f t="shared" si="1"/>
        <v>Ilang malaking titik ang mayroon sa salitang \"Todos los Santos\"?</v>
      </c>
      <c r="E230" s="14">
        <f t="shared" si="2"/>
        <v>2</v>
      </c>
      <c r="F230" s="14" t="s">
        <v>1573</v>
      </c>
      <c r="G230" s="14" t="s">
        <v>1574</v>
      </c>
      <c r="H230" s="2" t="s">
        <v>1575</v>
      </c>
      <c r="I230" s="15">
        <v>2</v>
      </c>
    </row>
    <row r="231" spans="1:9" ht="13" x14ac:dyDescent="0.15">
      <c r="A231" s="2" t="s">
        <v>512</v>
      </c>
      <c r="B231" s="14" t="s">
        <v>983</v>
      </c>
      <c r="C231" s="14" t="str">
        <f t="shared" si="0"/>
        <v>How many uppercase letters are in the word \"PGA\"?</v>
      </c>
      <c r="D231" s="14" t="str">
        <f t="shared" si="1"/>
        <v>Ilang malaking titik ang mayroon sa salitang \"PGA\"?</v>
      </c>
      <c r="E231" s="14">
        <f t="shared" si="2"/>
        <v>3</v>
      </c>
      <c r="F231" s="14" t="s">
        <v>1576</v>
      </c>
      <c r="G231" s="14" t="s">
        <v>1577</v>
      </c>
      <c r="H231" s="2" t="s">
        <v>1578</v>
      </c>
      <c r="I231" s="15">
        <v>3</v>
      </c>
    </row>
    <row r="232" spans="1:9" ht="13" x14ac:dyDescent="0.15">
      <c r="A232" s="2" t="s">
        <v>512</v>
      </c>
      <c r="B232" s="14" t="s">
        <v>983</v>
      </c>
      <c r="C232" s="14" t="str">
        <f t="shared" si="0"/>
        <v>How many uppercase letters are in the word \"SRO\"?</v>
      </c>
      <c r="D232" s="14" t="str">
        <f t="shared" si="1"/>
        <v>Ilang malaking titik ang mayroon sa salitang \"SRO\"?</v>
      </c>
      <c r="E232" s="14">
        <f t="shared" si="2"/>
        <v>3</v>
      </c>
      <c r="F232" s="14" t="s">
        <v>1579</v>
      </c>
      <c r="G232" s="14" t="s">
        <v>1580</v>
      </c>
      <c r="H232" s="2" t="s">
        <v>1581</v>
      </c>
      <c r="I232" s="15">
        <v>3</v>
      </c>
    </row>
    <row r="233" spans="1:9" ht="13" x14ac:dyDescent="0.15">
      <c r="A233" s="2" t="s">
        <v>512</v>
      </c>
      <c r="B233" s="14" t="s">
        <v>983</v>
      </c>
      <c r="C233" s="14" t="str">
        <f t="shared" si="0"/>
        <v>How many uppercase letters are in the word \"D &amp; C\"?</v>
      </c>
      <c r="D233" s="14" t="str">
        <f t="shared" si="1"/>
        <v>Ilang malaking titik ang mayroon sa salitang \"D &amp; C\"?</v>
      </c>
      <c r="E233" s="14">
        <f t="shared" si="2"/>
        <v>2</v>
      </c>
      <c r="F233" s="14" t="s">
        <v>1582</v>
      </c>
      <c r="G233" s="14" t="s">
        <v>1583</v>
      </c>
      <c r="H233" s="2" t="s">
        <v>1584</v>
      </c>
      <c r="I233" s="15">
        <v>2</v>
      </c>
    </row>
    <row r="234" spans="1:9" ht="13" x14ac:dyDescent="0.15">
      <c r="A234" s="2" t="s">
        <v>512</v>
      </c>
      <c r="B234" s="14" t="s">
        <v>983</v>
      </c>
      <c r="C234" s="14" t="str">
        <f t="shared" si="0"/>
        <v>How many uppercase letters are in the word \"UNEP\"?</v>
      </c>
      <c r="D234" s="14" t="str">
        <f t="shared" si="1"/>
        <v>Ilang malaking titik ang mayroon sa salitang \"UNEP\"?</v>
      </c>
      <c r="E234" s="14">
        <f t="shared" si="2"/>
        <v>4</v>
      </c>
      <c r="F234" s="14" t="s">
        <v>1585</v>
      </c>
      <c r="G234" s="14" t="s">
        <v>1586</v>
      </c>
      <c r="H234" s="2" t="s">
        <v>1587</v>
      </c>
      <c r="I234" s="15">
        <v>4</v>
      </c>
    </row>
    <row r="235" spans="1:9" ht="13" x14ac:dyDescent="0.15">
      <c r="A235" s="2" t="s">
        <v>512</v>
      </c>
      <c r="B235" s="14" t="s">
        <v>983</v>
      </c>
      <c r="C235" s="14" t="str">
        <f t="shared" si="0"/>
        <v>How many uppercase letters are in the word \"UNFPA\"?</v>
      </c>
      <c r="D235" s="14" t="str">
        <f t="shared" si="1"/>
        <v>Ilang malaking titik ang mayroon sa salitang \"UNFPA\"?</v>
      </c>
      <c r="E235" s="14">
        <f t="shared" si="2"/>
        <v>5</v>
      </c>
      <c r="F235" s="14" t="s">
        <v>1588</v>
      </c>
      <c r="G235" s="14" t="s">
        <v>1589</v>
      </c>
      <c r="H235" s="2" t="s">
        <v>1590</v>
      </c>
      <c r="I235" s="15">
        <v>5</v>
      </c>
    </row>
    <row r="236" spans="1:9" ht="13" x14ac:dyDescent="0.15">
      <c r="A236" s="2" t="s">
        <v>512</v>
      </c>
      <c r="B236" s="14" t="s">
        <v>983</v>
      </c>
      <c r="C236" s="14" t="str">
        <f t="shared" si="0"/>
        <v>How many uppercase letters are in the word \"Song of Solomon\"?</v>
      </c>
      <c r="D236" s="14" t="str">
        <f t="shared" si="1"/>
        <v>Ilang malaking titik ang mayroon sa salitang \"Song of Solomon\"?</v>
      </c>
      <c r="E236" s="14">
        <f t="shared" si="2"/>
        <v>2</v>
      </c>
      <c r="F236" s="14" t="s">
        <v>1591</v>
      </c>
      <c r="G236" s="14" t="s">
        <v>1592</v>
      </c>
      <c r="H236" s="2" t="s">
        <v>1593</v>
      </c>
      <c r="I236" s="15">
        <v>2</v>
      </c>
    </row>
    <row r="237" spans="1:9" ht="13" x14ac:dyDescent="0.15">
      <c r="A237" s="2" t="s">
        <v>512</v>
      </c>
      <c r="B237" s="14" t="s">
        <v>983</v>
      </c>
      <c r="C237" s="14" t="str">
        <f t="shared" si="0"/>
        <v>How many uppercase letters are in the word \"Sturm und Drang\"?</v>
      </c>
      <c r="D237" s="14" t="str">
        <f t="shared" si="1"/>
        <v>Ilang malaking titik ang mayroon sa salitang \"Sturm und Drang\"?</v>
      </c>
      <c r="E237" s="14">
        <f t="shared" si="2"/>
        <v>2</v>
      </c>
      <c r="F237" s="14" t="s">
        <v>1594</v>
      </c>
      <c r="G237" s="14" t="s">
        <v>1595</v>
      </c>
      <c r="H237" s="2" t="s">
        <v>1596</v>
      </c>
      <c r="I237" s="15">
        <v>2</v>
      </c>
    </row>
    <row r="238" spans="1:9" ht="13" x14ac:dyDescent="0.15">
      <c r="A238" s="2" t="s">
        <v>512</v>
      </c>
      <c r="B238" s="14" t="s">
        <v>983</v>
      </c>
      <c r="C238" s="14" t="str">
        <f t="shared" si="0"/>
        <v>How many uppercase letters are in the word \"Ilog Jordan\"?</v>
      </c>
      <c r="D238" s="14" t="str">
        <f t="shared" si="1"/>
        <v>Ilang malaking titik ang mayroon sa salitang \"Ilog Jordan\"?</v>
      </c>
      <c r="E238" s="14">
        <f t="shared" si="2"/>
        <v>2</v>
      </c>
      <c r="F238" s="14" t="s">
        <v>1597</v>
      </c>
      <c r="G238" s="14" t="s">
        <v>1598</v>
      </c>
      <c r="H238" s="2" t="s">
        <v>1599</v>
      </c>
      <c r="I238" s="15">
        <v>2</v>
      </c>
    </row>
    <row r="239" spans="1:9" ht="13" x14ac:dyDescent="0.15">
      <c r="A239" s="2" t="s">
        <v>512</v>
      </c>
      <c r="B239" s="14" t="s">
        <v>983</v>
      </c>
      <c r="C239" s="14" t="str">
        <f t="shared" si="0"/>
        <v>How many uppercase letters are in the word \"Central Processing Unit\"?</v>
      </c>
      <c r="D239" s="14" t="str">
        <f t="shared" si="1"/>
        <v>Ilang malaking titik ang mayroon sa salitang \"Central Processing Unit\"?</v>
      </c>
      <c r="E239" s="14">
        <f t="shared" si="2"/>
        <v>3</v>
      </c>
      <c r="F239" s="14" t="s">
        <v>1600</v>
      </c>
      <c r="G239" s="14" t="s">
        <v>1601</v>
      </c>
      <c r="H239" s="2" t="s">
        <v>1602</v>
      </c>
      <c r="I239" s="15">
        <v>3</v>
      </c>
    </row>
    <row r="240" spans="1:9" ht="13" x14ac:dyDescent="0.15">
      <c r="A240" s="2" t="s">
        <v>512</v>
      </c>
      <c r="B240" s="14" t="s">
        <v>983</v>
      </c>
      <c r="C240" s="14" t="str">
        <f t="shared" si="0"/>
        <v>How many uppercase letters are in the word \"Ursa Minor\"?</v>
      </c>
      <c r="D240" s="14" t="str">
        <f t="shared" si="1"/>
        <v>Ilang malaking titik ang mayroon sa salitang \"Ursa Minor\"?</v>
      </c>
      <c r="E240" s="14">
        <f t="shared" si="2"/>
        <v>2</v>
      </c>
      <c r="F240" s="14" t="s">
        <v>1603</v>
      </c>
      <c r="G240" s="14" t="s">
        <v>1604</v>
      </c>
      <c r="H240" s="2" t="s">
        <v>1605</v>
      </c>
      <c r="I240" s="15">
        <v>2</v>
      </c>
    </row>
    <row r="241" spans="1:9" ht="13" x14ac:dyDescent="0.15">
      <c r="A241" s="2" t="s">
        <v>512</v>
      </c>
      <c r="B241" s="14" t="s">
        <v>983</v>
      </c>
      <c r="C241" s="14" t="str">
        <f t="shared" si="0"/>
        <v>How many uppercase letters are in the word \"Dagat Aegean\"?</v>
      </c>
      <c r="D241" s="14" t="str">
        <f t="shared" si="1"/>
        <v>Ilang malaking titik ang mayroon sa salitang \"Dagat Aegean\"?</v>
      </c>
      <c r="E241" s="14">
        <f t="shared" si="2"/>
        <v>2</v>
      </c>
      <c r="F241" s="14" t="s">
        <v>1606</v>
      </c>
      <c r="G241" s="14" t="s">
        <v>1607</v>
      </c>
      <c r="H241" s="2" t="s">
        <v>1608</v>
      </c>
      <c r="I241" s="15">
        <v>2</v>
      </c>
    </row>
    <row r="242" spans="1:9" ht="13" x14ac:dyDescent="0.15">
      <c r="A242" s="2" t="s">
        <v>512</v>
      </c>
      <c r="B242" s="14" t="s">
        <v>983</v>
      </c>
      <c r="C242" s="14" t="str">
        <f t="shared" si="0"/>
        <v>How many uppercase letters are in the word \"Camarines Norte\"?</v>
      </c>
      <c r="D242" s="14" t="str">
        <f t="shared" si="1"/>
        <v>Ilang malaking titik ang mayroon sa salitang \"Camarines Norte\"?</v>
      </c>
      <c r="E242" s="14">
        <f t="shared" si="2"/>
        <v>2</v>
      </c>
      <c r="F242" s="14" t="s">
        <v>1609</v>
      </c>
      <c r="G242" s="14" t="s">
        <v>1610</v>
      </c>
      <c r="H242" s="2" t="s">
        <v>1611</v>
      </c>
      <c r="I242" s="15">
        <v>2</v>
      </c>
    </row>
    <row r="243" spans="1:9" ht="13" x14ac:dyDescent="0.15">
      <c r="A243" s="2" t="s">
        <v>512</v>
      </c>
      <c r="B243" s="14" t="s">
        <v>983</v>
      </c>
      <c r="C243" s="14" t="str">
        <f t="shared" si="0"/>
        <v>How many uppercase letters are in the word \"MB\"?</v>
      </c>
      <c r="D243" s="14" t="str">
        <f t="shared" si="1"/>
        <v>Ilang malaking titik ang mayroon sa salitang \"MB\"?</v>
      </c>
      <c r="E243" s="14">
        <f t="shared" si="2"/>
        <v>2</v>
      </c>
      <c r="F243" s="14" t="s">
        <v>1612</v>
      </c>
      <c r="G243" s="14" t="s">
        <v>1613</v>
      </c>
      <c r="H243" s="2" t="s">
        <v>1614</v>
      </c>
      <c r="I243" s="15">
        <v>2</v>
      </c>
    </row>
    <row r="244" spans="1:9" ht="13" x14ac:dyDescent="0.15">
      <c r="A244" s="2" t="s">
        <v>512</v>
      </c>
      <c r="B244" s="14" t="s">
        <v>983</v>
      </c>
      <c r="C244" s="14" t="str">
        <f t="shared" si="0"/>
        <v>How many uppercase letters are in the word \"Don Tiburcio de Espadaña\"?</v>
      </c>
      <c r="D244" s="14" t="str">
        <f t="shared" si="1"/>
        <v>Ilang malaking titik ang mayroon sa salitang \"Don Tiburcio de Espadaña\"?</v>
      </c>
      <c r="E244" s="14">
        <f t="shared" si="2"/>
        <v>3</v>
      </c>
      <c r="F244" s="14" t="s">
        <v>1615</v>
      </c>
      <c r="G244" s="14" t="s">
        <v>1616</v>
      </c>
      <c r="H244" s="2" t="s">
        <v>1617</v>
      </c>
      <c r="I244" s="15">
        <v>3</v>
      </c>
    </row>
    <row r="245" spans="1:9" ht="13" x14ac:dyDescent="0.15">
      <c r="A245" s="2" t="s">
        <v>512</v>
      </c>
      <c r="B245" s="14" t="s">
        <v>983</v>
      </c>
      <c r="C245" s="14" t="str">
        <f t="shared" si="0"/>
        <v>How many uppercase letters are in the word \"Padre Salvi\"?</v>
      </c>
      <c r="D245" s="14" t="str">
        <f t="shared" si="1"/>
        <v>Ilang malaking titik ang mayroon sa salitang \"Padre Salvi\"?</v>
      </c>
      <c r="E245" s="14">
        <f t="shared" si="2"/>
        <v>2</v>
      </c>
      <c r="F245" s="14" t="s">
        <v>1618</v>
      </c>
      <c r="G245" s="14" t="s">
        <v>1619</v>
      </c>
      <c r="H245" s="2" t="s">
        <v>1620</v>
      </c>
      <c r="I245" s="15">
        <v>2</v>
      </c>
    </row>
    <row r="246" spans="1:9" ht="13" x14ac:dyDescent="0.15">
      <c r="A246" s="2" t="s">
        <v>512</v>
      </c>
      <c r="B246" s="14" t="s">
        <v>983</v>
      </c>
      <c r="C246" s="14" t="str">
        <f t="shared" si="0"/>
        <v>How many uppercase letters are in the word \"Death March\"?</v>
      </c>
      <c r="D246" s="14" t="str">
        <f t="shared" si="1"/>
        <v>Ilang malaking titik ang mayroon sa salitang \"Death March\"?</v>
      </c>
      <c r="E246" s="14">
        <f t="shared" si="2"/>
        <v>2</v>
      </c>
      <c r="F246" s="14" t="s">
        <v>1621</v>
      </c>
      <c r="G246" s="14" t="s">
        <v>1622</v>
      </c>
      <c r="H246" s="2" t="s">
        <v>1623</v>
      </c>
      <c r="I246" s="15">
        <v>2</v>
      </c>
    </row>
    <row r="247" spans="1:9" ht="13" x14ac:dyDescent="0.15">
      <c r="A247" s="2" t="s">
        <v>512</v>
      </c>
      <c r="B247" s="14" t="s">
        <v>983</v>
      </c>
      <c r="C247" s="14" t="str">
        <f t="shared" si="0"/>
        <v>How many uppercase letters are in the word \"Agusan del Norte\"?</v>
      </c>
      <c r="D247" s="14" t="str">
        <f t="shared" si="1"/>
        <v>Ilang malaking titik ang mayroon sa salitang \"Agusan del Norte\"?</v>
      </c>
      <c r="E247" s="14">
        <f t="shared" si="2"/>
        <v>2</v>
      </c>
      <c r="F247" s="14" t="s">
        <v>1624</v>
      </c>
      <c r="G247" s="14" t="s">
        <v>1625</v>
      </c>
      <c r="H247" s="2" t="s">
        <v>1626</v>
      </c>
      <c r="I247" s="15">
        <v>2</v>
      </c>
    </row>
    <row r="248" spans="1:9" ht="13" x14ac:dyDescent="0.15">
      <c r="A248" s="2" t="s">
        <v>512</v>
      </c>
      <c r="B248" s="14" t="s">
        <v>983</v>
      </c>
      <c r="C248" s="14" t="str">
        <f t="shared" si="0"/>
        <v>How many uppercase letters are in the word \"Lallang ni Iwak\"?</v>
      </c>
      <c r="D248" s="14" t="str">
        <f t="shared" si="1"/>
        <v>Ilang malaking titik ang mayroon sa salitang \"Lallang ni Iwak\"?</v>
      </c>
      <c r="E248" s="14">
        <f t="shared" si="2"/>
        <v>2</v>
      </c>
      <c r="F248" s="14" t="s">
        <v>1627</v>
      </c>
      <c r="G248" s="14" t="s">
        <v>1628</v>
      </c>
      <c r="H248" s="2" t="s">
        <v>1629</v>
      </c>
      <c r="I248" s="15">
        <v>2</v>
      </c>
    </row>
    <row r="249" spans="1:9" ht="13" x14ac:dyDescent="0.15">
      <c r="A249" s="2" t="s">
        <v>512</v>
      </c>
      <c r="B249" s="14" t="s">
        <v>983</v>
      </c>
      <c r="C249" s="14" t="str">
        <f t="shared" si="0"/>
        <v>How many uppercase letters are in the word \"Birheng Maria\"?</v>
      </c>
      <c r="D249" s="14" t="str">
        <f t="shared" si="1"/>
        <v>Ilang malaking titik ang mayroon sa salitang \"Birheng Maria\"?</v>
      </c>
      <c r="E249" s="14">
        <f t="shared" si="2"/>
        <v>2</v>
      </c>
      <c r="F249" s="14" t="s">
        <v>1630</v>
      </c>
      <c r="G249" s="14" t="s">
        <v>1631</v>
      </c>
      <c r="H249" s="2" t="s">
        <v>1632</v>
      </c>
      <c r="I249" s="15">
        <v>2</v>
      </c>
    </row>
    <row r="250" spans="1:9" ht="13" x14ac:dyDescent="0.15">
      <c r="A250" s="2" t="s">
        <v>512</v>
      </c>
      <c r="B250" s="14" t="s">
        <v>983</v>
      </c>
      <c r="C250" s="14" t="str">
        <f t="shared" si="0"/>
        <v>How many uppercase letters are in the word \"Glorya Patri\"?</v>
      </c>
      <c r="D250" s="14" t="str">
        <f t="shared" si="1"/>
        <v>Ilang malaking titik ang mayroon sa salitang \"Glorya Patri\"?</v>
      </c>
      <c r="E250" s="14">
        <f t="shared" si="2"/>
        <v>2</v>
      </c>
      <c r="F250" s="14" t="s">
        <v>1633</v>
      </c>
      <c r="G250" s="14" t="s">
        <v>1634</v>
      </c>
      <c r="H250" s="2" t="s">
        <v>1635</v>
      </c>
      <c r="I250" s="15">
        <v>2</v>
      </c>
    </row>
    <row r="251" spans="1:9" ht="13" x14ac:dyDescent="0.15">
      <c r="A251" s="2" t="s">
        <v>512</v>
      </c>
      <c r="B251" s="14" t="s">
        <v>983</v>
      </c>
      <c r="C251" s="14" t="str">
        <f t="shared" si="0"/>
        <v>How many uppercase letters are in the word \"Autonomous Region in Muslim Mindanao\"?</v>
      </c>
      <c r="D251" s="14" t="str">
        <f t="shared" si="1"/>
        <v>Ilang malaking titik ang mayroon sa salitang \"Autonomous Region in Muslim Mindanao\"?</v>
      </c>
      <c r="E251" s="14">
        <f t="shared" si="2"/>
        <v>4</v>
      </c>
      <c r="F251" s="14" t="s">
        <v>1636</v>
      </c>
      <c r="G251" s="14" t="s">
        <v>1637</v>
      </c>
      <c r="H251" s="2" t="s">
        <v>1638</v>
      </c>
      <c r="I251" s="15">
        <v>4</v>
      </c>
    </row>
    <row r="252" spans="1:9" ht="13" x14ac:dyDescent="0.15">
      <c r="A252" s="2" t="s">
        <v>512</v>
      </c>
      <c r="B252" s="14" t="s">
        <v>983</v>
      </c>
      <c r="C252" s="14" t="str">
        <f t="shared" si="0"/>
        <v>How many uppercase letters are in the word \"Dagat Pula\"?</v>
      </c>
      <c r="D252" s="14" t="str">
        <f t="shared" si="1"/>
        <v>Ilang malaking titik ang mayroon sa salitang \"Dagat Pula\"?</v>
      </c>
      <c r="E252" s="14">
        <f t="shared" si="2"/>
        <v>2</v>
      </c>
      <c r="F252" s="14" t="s">
        <v>1639</v>
      </c>
      <c r="G252" s="14" t="s">
        <v>1640</v>
      </c>
      <c r="H252" s="2" t="s">
        <v>1641</v>
      </c>
      <c r="I252" s="15">
        <v>2</v>
      </c>
    </row>
    <row r="253" spans="1:9" ht="13" x14ac:dyDescent="0.15">
      <c r="A253" s="2" t="s">
        <v>512</v>
      </c>
      <c r="B253" s="14" t="s">
        <v>983</v>
      </c>
      <c r="C253" s="14" t="str">
        <f t="shared" si="0"/>
        <v>How many uppercase letters are in the word \"Anti-Cristo\"?</v>
      </c>
      <c r="D253" s="14" t="str">
        <f t="shared" si="1"/>
        <v>Ilang malaking titik ang mayroon sa salitang \"Anti-Cristo\"?</v>
      </c>
      <c r="E253" s="14">
        <f t="shared" si="2"/>
        <v>2</v>
      </c>
      <c r="F253" s="14" t="s">
        <v>1642</v>
      </c>
      <c r="G253" s="14" t="s">
        <v>1643</v>
      </c>
      <c r="H253" s="2" t="s">
        <v>1644</v>
      </c>
      <c r="I253" s="15">
        <v>2</v>
      </c>
    </row>
    <row r="254" spans="1:9" ht="13" x14ac:dyDescent="0.15">
      <c r="A254" s="2" t="s">
        <v>512</v>
      </c>
      <c r="B254" s="14" t="s">
        <v>983</v>
      </c>
      <c r="C254" s="14" t="str">
        <f t="shared" si="0"/>
        <v>How many uppercase letters are in the word \"Acta de Tejeros\"?</v>
      </c>
      <c r="D254" s="14" t="str">
        <f t="shared" si="1"/>
        <v>Ilang malaking titik ang mayroon sa salitang \"Acta de Tejeros\"?</v>
      </c>
      <c r="E254" s="14">
        <f t="shared" si="2"/>
        <v>2</v>
      </c>
      <c r="F254" s="14" t="s">
        <v>1645</v>
      </c>
      <c r="G254" s="14" t="s">
        <v>1646</v>
      </c>
      <c r="H254" s="2" t="s">
        <v>1647</v>
      </c>
      <c r="I254" s="15">
        <v>2</v>
      </c>
    </row>
    <row r="255" spans="1:9" ht="13" x14ac:dyDescent="0.15">
      <c r="A255" s="2" t="s">
        <v>512</v>
      </c>
      <c r="B255" s="14" t="s">
        <v>983</v>
      </c>
      <c r="C255" s="14" t="str">
        <f t="shared" si="0"/>
        <v>How many uppercase letters are in the word \"Mater Dolorosa\"?</v>
      </c>
      <c r="D255" s="14" t="str">
        <f t="shared" si="1"/>
        <v>Ilang malaking titik ang mayroon sa salitang \"Mater Dolorosa\"?</v>
      </c>
      <c r="E255" s="14">
        <f t="shared" si="2"/>
        <v>2</v>
      </c>
      <c r="F255" s="14" t="s">
        <v>1648</v>
      </c>
      <c r="G255" s="14" t="s">
        <v>1649</v>
      </c>
      <c r="H255" s="2" t="s">
        <v>1650</v>
      </c>
      <c r="I255" s="15">
        <v>2</v>
      </c>
    </row>
    <row r="256" spans="1:9" ht="13" x14ac:dyDescent="0.15">
      <c r="A256" s="2" t="s">
        <v>512</v>
      </c>
      <c r="B256" s="14" t="s">
        <v>983</v>
      </c>
      <c r="C256" s="14" t="str">
        <f t="shared" si="0"/>
        <v>How many uppercase letters are in the word \"Pasong Tirad\"?</v>
      </c>
      <c r="D256" s="14" t="str">
        <f t="shared" si="1"/>
        <v>Ilang malaking titik ang mayroon sa salitang \"Pasong Tirad\"?</v>
      </c>
      <c r="E256" s="14">
        <f t="shared" si="2"/>
        <v>2</v>
      </c>
      <c r="F256" s="14" t="s">
        <v>1651</v>
      </c>
      <c r="G256" s="14" t="s">
        <v>1652</v>
      </c>
      <c r="H256" s="2" t="s">
        <v>1653</v>
      </c>
      <c r="I256" s="15">
        <v>2</v>
      </c>
    </row>
    <row r="257" spans="1:9" ht="13" x14ac:dyDescent="0.15">
      <c r="A257" s="2" t="s">
        <v>512</v>
      </c>
      <c r="B257" s="14" t="s">
        <v>983</v>
      </c>
      <c r="C257" s="14" t="str">
        <f t="shared" ref="C257:C269" si="3">"How many uppercase letters are in the word " &amp; "\" &amp; """" &amp; G257 &amp; "\" &amp; """" &amp; "?"</f>
        <v>How many uppercase letters are in the word \"Kabesang Tales\"?</v>
      </c>
      <c r="D257" s="14" t="str">
        <f t="shared" ref="D257:D269" si="4">"Ilang malaking titik ang mayroon sa salitang " &amp; "\" &amp; """" &amp; G257 &amp; "\" &amp; """" &amp; "?"</f>
        <v>Ilang malaking titik ang mayroon sa salitang \"Kabesang Tales\"?</v>
      </c>
      <c r="E257" s="14">
        <f t="shared" ref="E257:E269" si="5">I257</f>
        <v>2</v>
      </c>
      <c r="F257" s="14" t="s">
        <v>1654</v>
      </c>
      <c r="G257" s="14" t="s">
        <v>1655</v>
      </c>
      <c r="H257" s="2" t="s">
        <v>1656</v>
      </c>
      <c r="I257" s="15">
        <v>2</v>
      </c>
    </row>
    <row r="258" spans="1:9" ht="13" x14ac:dyDescent="0.15">
      <c r="A258" s="2" t="s">
        <v>512</v>
      </c>
      <c r="B258" s="14" t="s">
        <v>983</v>
      </c>
      <c r="C258" s="14" t="str">
        <f t="shared" si="3"/>
        <v>How many uppercase letters are in the word \"Mariang Alimango\"?</v>
      </c>
      <c r="D258" s="14" t="str">
        <f t="shared" si="4"/>
        <v>Ilang malaking titik ang mayroon sa salitang \"Mariang Alimango\"?</v>
      </c>
      <c r="E258" s="14">
        <f t="shared" si="5"/>
        <v>2</v>
      </c>
      <c r="F258" s="14" t="s">
        <v>1657</v>
      </c>
      <c r="G258" s="14" t="s">
        <v>1658</v>
      </c>
      <c r="H258" s="2" t="s">
        <v>1659</v>
      </c>
      <c r="I258" s="15">
        <v>2</v>
      </c>
    </row>
    <row r="259" spans="1:9" ht="13" x14ac:dyDescent="0.15">
      <c r="A259" s="2" t="s">
        <v>512</v>
      </c>
      <c r="B259" s="14" t="s">
        <v>983</v>
      </c>
      <c r="C259" s="14" t="str">
        <f t="shared" si="3"/>
        <v>How many uppercase letters are in the word \"Media Noche\"?</v>
      </c>
      <c r="D259" s="14" t="str">
        <f t="shared" si="4"/>
        <v>Ilang malaking titik ang mayroon sa salitang \"Media Noche\"?</v>
      </c>
      <c r="E259" s="14">
        <f t="shared" si="5"/>
        <v>2</v>
      </c>
      <c r="F259" s="14" t="s">
        <v>1660</v>
      </c>
      <c r="G259" s="14" t="s">
        <v>1661</v>
      </c>
      <c r="H259" s="2" t="s">
        <v>1662</v>
      </c>
      <c r="I259" s="15">
        <v>2</v>
      </c>
    </row>
    <row r="260" spans="1:9" ht="13" x14ac:dyDescent="0.15">
      <c r="A260" s="2" t="s">
        <v>512</v>
      </c>
      <c r="B260" s="14" t="s">
        <v>983</v>
      </c>
      <c r="C260" s="14" t="str">
        <f t="shared" si="3"/>
        <v>How many uppercase letters are in the word \"Mga Taga-Colosas\"?</v>
      </c>
      <c r="D260" s="14" t="str">
        <f t="shared" si="4"/>
        <v>Ilang malaking titik ang mayroon sa salitang \"Mga Taga-Colosas\"?</v>
      </c>
      <c r="E260" s="14">
        <f t="shared" si="5"/>
        <v>3</v>
      </c>
      <c r="F260" s="14" t="s">
        <v>1663</v>
      </c>
      <c r="G260" s="14" t="s">
        <v>1664</v>
      </c>
      <c r="H260" s="2" t="s">
        <v>1665</v>
      </c>
      <c r="I260" s="15">
        <v>3</v>
      </c>
    </row>
    <row r="261" spans="1:9" ht="13" x14ac:dyDescent="0.15">
      <c r="A261" s="2" t="s">
        <v>512</v>
      </c>
      <c r="B261" s="14" t="s">
        <v>983</v>
      </c>
      <c r="C261" s="14" t="str">
        <f t="shared" si="3"/>
        <v>How many uppercase letters are in the word \"Buling-Buling\"?</v>
      </c>
      <c r="D261" s="14" t="str">
        <f t="shared" si="4"/>
        <v>Ilang malaking titik ang mayroon sa salitang \"Buling-Buling\"?</v>
      </c>
      <c r="E261" s="14">
        <f t="shared" si="5"/>
        <v>2</v>
      </c>
      <c r="F261" s="14" t="s">
        <v>1666</v>
      </c>
      <c r="G261" s="14" t="s">
        <v>1667</v>
      </c>
      <c r="H261" s="2" t="s">
        <v>1668</v>
      </c>
      <c r="I261" s="15">
        <v>2</v>
      </c>
    </row>
    <row r="262" spans="1:9" ht="13" x14ac:dyDescent="0.15">
      <c r="A262" s="2" t="s">
        <v>512</v>
      </c>
      <c r="B262" s="14" t="s">
        <v>983</v>
      </c>
      <c r="C262" s="14" t="str">
        <f t="shared" si="3"/>
        <v>How many uppercase letters are in the word \"United Nations\"?</v>
      </c>
      <c r="D262" s="14" t="str">
        <f t="shared" si="4"/>
        <v>Ilang malaking titik ang mayroon sa salitang \"United Nations\"?</v>
      </c>
      <c r="E262" s="14">
        <f t="shared" si="5"/>
        <v>2</v>
      </c>
      <c r="F262" s="14" t="s">
        <v>1669</v>
      </c>
      <c r="G262" s="14" t="s">
        <v>1670</v>
      </c>
      <c r="H262" s="2" t="s">
        <v>1671</v>
      </c>
      <c r="I262" s="15">
        <v>2</v>
      </c>
    </row>
    <row r="263" spans="1:9" ht="13" x14ac:dyDescent="0.15">
      <c r="A263" s="2" t="s">
        <v>512</v>
      </c>
      <c r="B263" s="14" t="s">
        <v>983</v>
      </c>
      <c r="C263" s="14" t="str">
        <f t="shared" si="3"/>
        <v>How many uppercase letters are in the word \"Ali Adab\"?</v>
      </c>
      <c r="D263" s="14" t="str">
        <f t="shared" si="4"/>
        <v>Ilang malaking titik ang mayroon sa salitang \"Ali Adab\"?</v>
      </c>
      <c r="E263" s="14">
        <f t="shared" si="5"/>
        <v>2</v>
      </c>
      <c r="F263" s="14" t="s">
        <v>1672</v>
      </c>
      <c r="G263" s="14" t="s">
        <v>1673</v>
      </c>
      <c r="H263" s="2" t="s">
        <v>1674</v>
      </c>
      <c r="I263" s="15">
        <v>2</v>
      </c>
    </row>
    <row r="264" spans="1:9" ht="13" x14ac:dyDescent="0.15">
      <c r="A264" s="2" t="s">
        <v>512</v>
      </c>
      <c r="B264" s="14" t="s">
        <v>983</v>
      </c>
      <c r="C264" s="14" t="str">
        <f t="shared" si="3"/>
        <v>How many uppercase letters are in the word \"Awit ng mga Awit\"?</v>
      </c>
      <c r="D264" s="14" t="str">
        <f t="shared" si="4"/>
        <v>Ilang malaking titik ang mayroon sa salitang \"Awit ng mga Awit\"?</v>
      </c>
      <c r="E264" s="14">
        <f t="shared" si="5"/>
        <v>2</v>
      </c>
      <c r="F264" s="14" t="s">
        <v>1675</v>
      </c>
      <c r="G264" s="14" t="s">
        <v>1676</v>
      </c>
      <c r="H264" s="2" t="s">
        <v>1677</v>
      </c>
      <c r="I264" s="15">
        <v>2</v>
      </c>
    </row>
    <row r="265" spans="1:9" ht="13" x14ac:dyDescent="0.15">
      <c r="A265" s="2" t="s">
        <v>512</v>
      </c>
      <c r="B265" s="14" t="s">
        <v>983</v>
      </c>
      <c r="C265" s="14" t="str">
        <f t="shared" si="3"/>
        <v>How many uppercase letters are in the word \"OK\"?</v>
      </c>
      <c r="D265" s="14" t="str">
        <f t="shared" si="4"/>
        <v>Ilang malaking titik ang mayroon sa salitang \"OK\"?</v>
      </c>
      <c r="E265" s="14">
        <f t="shared" si="5"/>
        <v>2</v>
      </c>
      <c r="F265" s="14" t="s">
        <v>1678</v>
      </c>
      <c r="G265" s="14" t="s">
        <v>1679</v>
      </c>
      <c r="H265" s="2" t="s">
        <v>9</v>
      </c>
      <c r="I265" s="15">
        <v>2</v>
      </c>
    </row>
    <row r="266" spans="1:9" ht="13" x14ac:dyDescent="0.15">
      <c r="A266" s="2" t="s">
        <v>512</v>
      </c>
      <c r="B266" s="14" t="s">
        <v>983</v>
      </c>
      <c r="C266" s="14" t="str">
        <f t="shared" si="3"/>
        <v>How many uppercase letters are in the word \"JCL\"?</v>
      </c>
      <c r="D266" s="14" t="str">
        <f t="shared" si="4"/>
        <v>Ilang malaking titik ang mayroon sa salitang \"JCL\"?</v>
      </c>
      <c r="E266" s="14">
        <f t="shared" si="5"/>
        <v>3</v>
      </c>
      <c r="F266" s="14" t="s">
        <v>1680</v>
      </c>
      <c r="G266" s="14" t="s">
        <v>1681</v>
      </c>
      <c r="H266" s="2" t="s">
        <v>1682</v>
      </c>
      <c r="I266" s="15">
        <v>3</v>
      </c>
    </row>
    <row r="267" spans="1:9" ht="13" x14ac:dyDescent="0.15">
      <c r="A267" s="2" t="s">
        <v>512</v>
      </c>
      <c r="B267" s="14" t="s">
        <v>983</v>
      </c>
      <c r="C267" s="14" t="str">
        <f t="shared" si="3"/>
        <v>How many uppercase letters are in the word \"MV\"?</v>
      </c>
      <c r="D267" s="14" t="str">
        <f t="shared" si="4"/>
        <v>Ilang malaking titik ang mayroon sa salitang \"MV\"?</v>
      </c>
      <c r="E267" s="14">
        <f t="shared" si="5"/>
        <v>2</v>
      </c>
      <c r="F267" s="14" t="s">
        <v>1683</v>
      </c>
      <c r="G267" s="14" t="s">
        <v>1684</v>
      </c>
      <c r="H267" s="2" t="s">
        <v>1685</v>
      </c>
      <c r="I267" s="15">
        <v>2</v>
      </c>
    </row>
    <row r="268" spans="1:9" ht="13" x14ac:dyDescent="0.15">
      <c r="A268" s="2" t="s">
        <v>512</v>
      </c>
      <c r="B268" s="14" t="s">
        <v>983</v>
      </c>
      <c r="C268" s="14" t="str">
        <f t="shared" si="3"/>
        <v>How many uppercase letters are in the word \"El Niño\"?</v>
      </c>
      <c r="D268" s="14" t="str">
        <f t="shared" si="4"/>
        <v>Ilang malaking titik ang mayroon sa salitang \"El Niño\"?</v>
      </c>
      <c r="E268" s="14">
        <f t="shared" si="5"/>
        <v>2</v>
      </c>
      <c r="F268" s="14" t="s">
        <v>1686</v>
      </c>
      <c r="G268" s="14" t="s">
        <v>1687</v>
      </c>
      <c r="H268" s="2" t="s">
        <v>1688</v>
      </c>
      <c r="I268" s="15">
        <v>2</v>
      </c>
    </row>
    <row r="269" spans="1:9" ht="13" x14ac:dyDescent="0.15">
      <c r="A269" s="2" t="s">
        <v>512</v>
      </c>
      <c r="B269" s="14" t="s">
        <v>983</v>
      </c>
      <c r="C269" s="14" t="str">
        <f t="shared" si="3"/>
        <v>How many uppercase letters are in the word \"Holy City\"?</v>
      </c>
      <c r="D269" s="14" t="str">
        <f t="shared" si="4"/>
        <v>Ilang malaking titik ang mayroon sa salitang \"Holy City\"?</v>
      </c>
      <c r="E269" s="14">
        <f t="shared" si="5"/>
        <v>2</v>
      </c>
      <c r="F269" s="14" t="s">
        <v>1689</v>
      </c>
      <c r="G269" s="14" t="s">
        <v>1690</v>
      </c>
      <c r="H269" s="2" t="s">
        <v>1691</v>
      </c>
      <c r="I269" s="1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69"/>
  <sheetViews>
    <sheetView workbookViewId="0">
      <selection activeCell="B3" sqref="B3"/>
    </sheetView>
  </sheetViews>
  <sheetFormatPr baseColWidth="10" defaultColWidth="12.6640625" defaultRowHeight="15.75" customHeight="1" x14ac:dyDescent="0.15"/>
  <cols>
    <col min="4" max="4" width="42.5" customWidth="1"/>
    <col min="5" max="5" width="41.5" customWidth="1"/>
    <col min="11" max="11" width="13.33203125" customWidth="1"/>
  </cols>
  <sheetData>
    <row r="1" spans="1:12" ht="15.75" customHeight="1" x14ac:dyDescent="0.15">
      <c r="A1" s="2" t="s">
        <v>502</v>
      </c>
      <c r="B1" s="2" t="s">
        <v>503</v>
      </c>
      <c r="C1" s="16" t="s">
        <v>1692</v>
      </c>
      <c r="D1" s="2" t="s">
        <v>505</v>
      </c>
      <c r="E1" s="2" t="s">
        <v>506</v>
      </c>
      <c r="F1" s="2" t="s">
        <v>507</v>
      </c>
      <c r="G1" s="2" t="s">
        <v>508</v>
      </c>
      <c r="H1" s="2" t="s">
        <v>83</v>
      </c>
      <c r="I1" s="2" t="s">
        <v>1693</v>
      </c>
    </row>
    <row r="2" spans="1:12" ht="15.75" customHeight="1" x14ac:dyDescent="0.15">
      <c r="A2" s="2" t="s">
        <v>512</v>
      </c>
      <c r="B2" s="14" t="s">
        <v>1694</v>
      </c>
      <c r="C2" s="14" t="s">
        <v>1695</v>
      </c>
      <c r="D2" s="14" t="s">
        <v>1696</v>
      </c>
      <c r="E2" s="14" t="s">
        <v>1697</v>
      </c>
      <c r="F2" s="15">
        <v>8</v>
      </c>
      <c r="G2" s="18" t="s">
        <v>2333</v>
      </c>
      <c r="H2" s="14" t="s">
        <v>1698</v>
      </c>
      <c r="I2" s="14" t="str">
        <f t="shared" ref="I2:I101" si="0">SUBSTITUTE(SUBSTITUTE(H2,"-",""),"ng","x")</f>
        <v>gabigabi</v>
      </c>
      <c r="J2" s="14" t="str">
        <f t="shared" ref="J2:J101" si="1">IF(COUNTIF(H:H, H2)&gt;1,"Duplicate","Unique")</f>
        <v>Unique</v>
      </c>
      <c r="L2" s="15"/>
    </row>
    <row r="3" spans="1:12" ht="15.75" customHeight="1" x14ac:dyDescent="0.15">
      <c r="A3" s="2" t="s">
        <v>512</v>
      </c>
      <c r="B3" s="14" t="s">
        <v>1694</v>
      </c>
      <c r="C3" s="14" t="s">
        <v>1695</v>
      </c>
      <c r="D3" s="14" t="str">
        <f t="shared" ref="D3:D101" si="2">"How many letters are in the word " &amp; "\" &amp; """" &amp;H3  &amp; "\" &amp; """" &amp; "?"""</f>
        <v>How many letters are in the word \"nagsipagwasiwas\"?"</v>
      </c>
      <c r="E3" s="14" t="str">
        <f t="shared" ref="E3:E101" si="3">"Ilang titik mayroon ang salitang " &amp; "\" &amp; """" &amp;H3  &amp; "\" &amp; """" &amp; "?"""</f>
        <v>Ilang titik mayroon ang salitang \"nagsipagwasiwas\"?"</v>
      </c>
      <c r="F3" s="15">
        <v>15</v>
      </c>
      <c r="G3" s="18" t="s">
        <v>2334</v>
      </c>
      <c r="H3" s="14" t="s">
        <v>1699</v>
      </c>
      <c r="I3" s="14" t="str">
        <f t="shared" si="0"/>
        <v>nagsipagwasiwas</v>
      </c>
      <c r="J3" s="14" t="str">
        <f t="shared" si="1"/>
        <v>Unique</v>
      </c>
      <c r="K3" s="2"/>
      <c r="L3" s="15"/>
    </row>
    <row r="4" spans="1:12" ht="15.75" customHeight="1" x14ac:dyDescent="0.15">
      <c r="A4" s="2" t="s">
        <v>512</v>
      </c>
      <c r="B4" s="14" t="s">
        <v>1694</v>
      </c>
      <c r="C4" s="14" t="s">
        <v>1695</v>
      </c>
      <c r="D4" s="14" t="str">
        <f t="shared" si="2"/>
        <v>How many letters are in the word \"niliguyan\"?"</v>
      </c>
      <c r="E4" s="14" t="str">
        <f t="shared" si="3"/>
        <v>Ilang titik mayroon ang salitang \"niliguyan\"?"</v>
      </c>
      <c r="F4" s="15">
        <v>9</v>
      </c>
      <c r="G4" s="18" t="s">
        <v>2335</v>
      </c>
      <c r="H4" s="14" t="s">
        <v>1700</v>
      </c>
      <c r="I4" s="14" t="str">
        <f t="shared" si="0"/>
        <v>niliguyan</v>
      </c>
      <c r="J4" s="14" t="str">
        <f t="shared" si="1"/>
        <v>Unique</v>
      </c>
      <c r="L4" s="15"/>
    </row>
    <row r="5" spans="1:12" ht="15.75" customHeight="1" x14ac:dyDescent="0.15">
      <c r="A5" s="2" t="s">
        <v>512</v>
      </c>
      <c r="B5" s="14" t="s">
        <v>1694</v>
      </c>
      <c r="C5" s="14" t="s">
        <v>1695</v>
      </c>
      <c r="D5" s="14" t="str">
        <f t="shared" si="2"/>
        <v>How many letters are in the word \"pakikihithit\"?"</v>
      </c>
      <c r="E5" s="14" t="str">
        <f t="shared" si="3"/>
        <v>Ilang titik mayroon ang salitang \"pakikihithit\"?"</v>
      </c>
      <c r="F5" s="15">
        <v>12</v>
      </c>
      <c r="G5" s="18" t="s">
        <v>2336</v>
      </c>
      <c r="H5" s="14" t="s">
        <v>1701</v>
      </c>
      <c r="I5" s="14" t="str">
        <f t="shared" si="0"/>
        <v>pakikihithit</v>
      </c>
      <c r="J5" s="14" t="str">
        <f t="shared" si="1"/>
        <v>Unique</v>
      </c>
      <c r="L5" s="15"/>
    </row>
    <row r="6" spans="1:12" ht="15.75" customHeight="1" x14ac:dyDescent="0.15">
      <c r="A6" s="2" t="s">
        <v>512</v>
      </c>
      <c r="B6" s="14" t="s">
        <v>1694</v>
      </c>
      <c r="C6" s="14" t="s">
        <v>1695</v>
      </c>
      <c r="D6" s="14" t="str">
        <f t="shared" si="2"/>
        <v>How many letters are in the word \"tigdalawa\"?"</v>
      </c>
      <c r="E6" s="14" t="str">
        <f t="shared" si="3"/>
        <v>Ilang titik mayroon ang salitang \"tigdalawa\"?"</v>
      </c>
      <c r="F6" s="15">
        <v>9</v>
      </c>
      <c r="G6" s="18" t="s">
        <v>2337</v>
      </c>
      <c r="H6" s="14" t="s">
        <v>1702</v>
      </c>
      <c r="I6" s="14" t="str">
        <f t="shared" si="0"/>
        <v>tigdalawa</v>
      </c>
      <c r="J6" s="14" t="str">
        <f t="shared" si="1"/>
        <v>Unique</v>
      </c>
      <c r="L6" s="15"/>
    </row>
    <row r="7" spans="1:12" ht="15.75" customHeight="1" x14ac:dyDescent="0.15">
      <c r="A7" s="2" t="s">
        <v>512</v>
      </c>
      <c r="B7" s="14" t="s">
        <v>1694</v>
      </c>
      <c r="C7" s="14" t="s">
        <v>1695</v>
      </c>
      <c r="D7" s="14" t="str">
        <f t="shared" si="2"/>
        <v>How many letters are in the word \"magkandalanta-lanta\"?"</v>
      </c>
      <c r="E7" s="14" t="str">
        <f t="shared" si="3"/>
        <v>Ilang titik mayroon ang salitang \"magkandalanta-lanta\"?"</v>
      </c>
      <c r="F7" s="15">
        <v>18</v>
      </c>
      <c r="G7" s="18" t="s">
        <v>2338</v>
      </c>
      <c r="H7" s="14" t="s">
        <v>1703</v>
      </c>
      <c r="I7" s="14" t="str">
        <f t="shared" si="0"/>
        <v>magkandalantalanta</v>
      </c>
      <c r="J7" s="14" t="str">
        <f t="shared" si="1"/>
        <v>Unique</v>
      </c>
      <c r="L7" s="15"/>
    </row>
    <row r="8" spans="1:12" ht="15.75" customHeight="1" x14ac:dyDescent="0.15">
      <c r="A8" s="2" t="s">
        <v>512</v>
      </c>
      <c r="B8" s="14" t="s">
        <v>1694</v>
      </c>
      <c r="C8" s="14" t="s">
        <v>1695</v>
      </c>
      <c r="D8" s="14" t="str">
        <f t="shared" si="2"/>
        <v>How many letters are in the word \"nakakapanrahuyo\"?"</v>
      </c>
      <c r="E8" s="14" t="str">
        <f t="shared" si="3"/>
        <v>Ilang titik mayroon ang salitang \"nakakapanrahuyo\"?"</v>
      </c>
      <c r="F8" s="15">
        <v>15</v>
      </c>
      <c r="G8" s="18" t="s">
        <v>2339</v>
      </c>
      <c r="H8" s="14" t="s">
        <v>1704</v>
      </c>
      <c r="I8" s="14" t="str">
        <f t="shared" si="0"/>
        <v>nakakapanrahuyo</v>
      </c>
      <c r="J8" s="14" t="str">
        <f t="shared" si="1"/>
        <v>Unique</v>
      </c>
      <c r="L8" s="15"/>
    </row>
    <row r="9" spans="1:12" ht="15.75" customHeight="1" x14ac:dyDescent="0.15">
      <c r="A9" s="2" t="s">
        <v>512</v>
      </c>
      <c r="B9" s="14" t="s">
        <v>1694</v>
      </c>
      <c r="C9" s="14" t="s">
        <v>1695</v>
      </c>
      <c r="D9" s="14" t="str">
        <f t="shared" si="2"/>
        <v>How many letters are in the word \"nakupitan\"?"</v>
      </c>
      <c r="E9" s="14" t="str">
        <f t="shared" si="3"/>
        <v>Ilang titik mayroon ang salitang \"nakupitan\"?"</v>
      </c>
      <c r="F9" s="15">
        <v>9</v>
      </c>
      <c r="G9" s="18" t="s">
        <v>2340</v>
      </c>
      <c r="H9" s="14" t="s">
        <v>1705</v>
      </c>
      <c r="I9" s="14" t="str">
        <f t="shared" si="0"/>
        <v>nakupitan</v>
      </c>
      <c r="J9" s="14" t="str">
        <f t="shared" si="1"/>
        <v>Unique</v>
      </c>
      <c r="L9" s="15"/>
    </row>
    <row r="10" spans="1:12" ht="15.75" customHeight="1" x14ac:dyDescent="0.15">
      <c r="A10" s="2" t="s">
        <v>512</v>
      </c>
      <c r="B10" s="14" t="s">
        <v>1694</v>
      </c>
      <c r="C10" s="14" t="s">
        <v>1695</v>
      </c>
      <c r="D10" s="14" t="str">
        <f t="shared" si="2"/>
        <v>How many letters are in the word \"labintatlo\"?"</v>
      </c>
      <c r="E10" s="14" t="str">
        <f t="shared" si="3"/>
        <v>Ilang titik mayroon ang salitang \"labintatlo\"?"</v>
      </c>
      <c r="F10" s="15">
        <v>10</v>
      </c>
      <c r="G10" s="18" t="s">
        <v>2341</v>
      </c>
      <c r="H10" s="14" t="s">
        <v>1706</v>
      </c>
      <c r="I10" s="14" t="str">
        <f t="shared" si="0"/>
        <v>labintatlo</v>
      </c>
      <c r="J10" s="14" t="str">
        <f t="shared" si="1"/>
        <v>Unique</v>
      </c>
      <c r="L10" s="15"/>
    </row>
    <row r="11" spans="1:12" ht="15.75" customHeight="1" x14ac:dyDescent="0.15">
      <c r="A11" s="2" t="s">
        <v>512</v>
      </c>
      <c r="B11" s="14" t="s">
        <v>1694</v>
      </c>
      <c r="C11" s="14" t="s">
        <v>1695</v>
      </c>
      <c r="D11" s="14" t="str">
        <f t="shared" si="2"/>
        <v>How many letters are in the word \"katwiran\"?"</v>
      </c>
      <c r="E11" s="14" t="str">
        <f t="shared" si="3"/>
        <v>Ilang titik mayroon ang salitang \"katwiran\"?"</v>
      </c>
      <c r="F11" s="15">
        <v>8</v>
      </c>
      <c r="G11" s="18" t="s">
        <v>2342</v>
      </c>
      <c r="H11" s="14" t="s">
        <v>1707</v>
      </c>
      <c r="I11" s="14" t="str">
        <f t="shared" si="0"/>
        <v>katwiran</v>
      </c>
      <c r="J11" s="14" t="str">
        <f t="shared" si="1"/>
        <v>Unique</v>
      </c>
      <c r="L11" s="15"/>
    </row>
    <row r="12" spans="1:12" ht="15.75" customHeight="1" x14ac:dyDescent="0.15">
      <c r="A12" s="2" t="s">
        <v>512</v>
      </c>
      <c r="B12" s="14" t="s">
        <v>1694</v>
      </c>
      <c r="C12" s="14" t="s">
        <v>1695</v>
      </c>
      <c r="D12" s="14" t="str">
        <f t="shared" si="2"/>
        <v>How many letters are in the word \"talaarawan\"?"</v>
      </c>
      <c r="E12" s="14" t="str">
        <f t="shared" si="3"/>
        <v>Ilang titik mayroon ang salitang \"talaarawan\"?"</v>
      </c>
      <c r="F12" s="15">
        <v>10</v>
      </c>
      <c r="G12" s="18" t="s">
        <v>2343</v>
      </c>
      <c r="H12" s="14" t="s">
        <v>1708</v>
      </c>
      <c r="I12" s="14" t="str">
        <f t="shared" si="0"/>
        <v>talaarawan</v>
      </c>
      <c r="J12" s="14" t="str">
        <f t="shared" si="1"/>
        <v>Unique</v>
      </c>
      <c r="L12" s="15"/>
    </row>
    <row r="13" spans="1:12" ht="15.75" customHeight="1" x14ac:dyDescent="0.15">
      <c r="A13" s="2" t="s">
        <v>512</v>
      </c>
      <c r="B13" s="14" t="s">
        <v>1694</v>
      </c>
      <c r="C13" s="14" t="s">
        <v>1695</v>
      </c>
      <c r="D13" s="14" t="str">
        <f t="shared" si="2"/>
        <v>How many letters are in the word \"kakakain\"?"</v>
      </c>
      <c r="E13" s="14" t="str">
        <f t="shared" si="3"/>
        <v>Ilang titik mayroon ang salitang \"kakakain\"?"</v>
      </c>
      <c r="F13" s="2">
        <v>8</v>
      </c>
      <c r="G13" s="18" t="s">
        <v>2344</v>
      </c>
      <c r="H13" s="2" t="s">
        <v>1709</v>
      </c>
      <c r="I13" s="14" t="str">
        <f t="shared" si="0"/>
        <v>kakakain</v>
      </c>
      <c r="J13" s="14" t="str">
        <f t="shared" si="1"/>
        <v>Unique</v>
      </c>
    </row>
    <row r="14" spans="1:12" ht="15.75" customHeight="1" x14ac:dyDescent="0.15">
      <c r="A14" s="2" t="s">
        <v>512</v>
      </c>
      <c r="B14" s="14" t="s">
        <v>1694</v>
      </c>
      <c r="C14" s="14" t="s">
        <v>1695</v>
      </c>
      <c r="D14" s="14" t="str">
        <f t="shared" si="2"/>
        <v>How many letters are in the word \"kabababa\"?"</v>
      </c>
      <c r="E14" s="14" t="str">
        <f t="shared" si="3"/>
        <v>Ilang titik mayroon ang salitang \"kabababa\"?"</v>
      </c>
      <c r="F14" s="2">
        <v>8</v>
      </c>
      <c r="G14" s="18" t="s">
        <v>2345</v>
      </c>
      <c r="H14" s="2" t="s">
        <v>1710</v>
      </c>
      <c r="I14" s="14" t="str">
        <f t="shared" si="0"/>
        <v>kabababa</v>
      </c>
      <c r="J14" s="14" t="str">
        <f t="shared" si="1"/>
        <v>Unique</v>
      </c>
    </row>
    <row r="15" spans="1:12" ht="15.75" customHeight="1" x14ac:dyDescent="0.15">
      <c r="A15" s="2" t="s">
        <v>512</v>
      </c>
      <c r="B15" s="14" t="s">
        <v>1694</v>
      </c>
      <c r="C15" s="14" t="s">
        <v>1695</v>
      </c>
      <c r="D15" s="14" t="str">
        <f t="shared" si="2"/>
        <v>How many letters are in the word \"kasasaing\"?"</v>
      </c>
      <c r="E15" s="14" t="str">
        <f t="shared" si="3"/>
        <v>Ilang titik mayroon ang salitang \"kasasaing\"?"</v>
      </c>
      <c r="F15" s="2">
        <v>8</v>
      </c>
      <c r="G15" s="18" t="s">
        <v>2346</v>
      </c>
      <c r="H15" s="2" t="s">
        <v>1711</v>
      </c>
      <c r="I15" s="14" t="str">
        <f t="shared" si="0"/>
        <v>kasasaix</v>
      </c>
      <c r="J15" s="14" t="str">
        <f t="shared" si="1"/>
        <v>Unique</v>
      </c>
    </row>
    <row r="16" spans="1:12" ht="15.75" customHeight="1" x14ac:dyDescent="0.15">
      <c r="A16" s="2" t="s">
        <v>512</v>
      </c>
      <c r="B16" s="14" t="s">
        <v>1694</v>
      </c>
      <c r="C16" s="14" t="s">
        <v>1695</v>
      </c>
      <c r="D16" s="14" t="str">
        <f t="shared" si="2"/>
        <v>How many letters are in the word \"kasasampay\"?"</v>
      </c>
      <c r="E16" s="14" t="str">
        <f t="shared" si="3"/>
        <v>Ilang titik mayroon ang salitang \"kasasampay\"?"</v>
      </c>
      <c r="F16" s="2">
        <v>10</v>
      </c>
      <c r="G16" s="18" t="s">
        <v>2347</v>
      </c>
      <c r="H16" s="2" t="s">
        <v>1712</v>
      </c>
      <c r="I16" s="14" t="str">
        <f t="shared" si="0"/>
        <v>kasasampay</v>
      </c>
      <c r="J16" s="14" t="str">
        <f t="shared" si="1"/>
        <v>Unique</v>
      </c>
    </row>
    <row r="17" spans="1:10" ht="15.75" customHeight="1" x14ac:dyDescent="0.15">
      <c r="A17" s="2" t="s">
        <v>512</v>
      </c>
      <c r="B17" s="14" t="s">
        <v>1694</v>
      </c>
      <c r="C17" s="14" t="s">
        <v>1695</v>
      </c>
      <c r="D17" s="14" t="str">
        <f t="shared" si="2"/>
        <v>How many letters are in the word \"kalalakad\"?"</v>
      </c>
      <c r="E17" s="14" t="str">
        <f t="shared" si="3"/>
        <v>Ilang titik mayroon ang salitang \"kalalakad\"?"</v>
      </c>
      <c r="F17" s="2">
        <v>9</v>
      </c>
      <c r="G17" s="18" t="s">
        <v>2348</v>
      </c>
      <c r="H17" s="2" t="s">
        <v>1713</v>
      </c>
      <c r="I17" s="14" t="str">
        <f t="shared" si="0"/>
        <v>kalalakad</v>
      </c>
      <c r="J17" s="14" t="str">
        <f t="shared" si="1"/>
        <v>Unique</v>
      </c>
    </row>
    <row r="18" spans="1:10" ht="15.75" customHeight="1" x14ac:dyDescent="0.15">
      <c r="A18" s="2" t="s">
        <v>512</v>
      </c>
      <c r="B18" s="14" t="s">
        <v>1694</v>
      </c>
      <c r="C18" s="14" t="s">
        <v>1695</v>
      </c>
      <c r="D18" s="14" t="str">
        <f t="shared" si="2"/>
        <v>How many letters are in the word \"kaaalis\"?"</v>
      </c>
      <c r="E18" s="14" t="str">
        <f t="shared" si="3"/>
        <v>Ilang titik mayroon ang salitang \"kaaalis\"?"</v>
      </c>
      <c r="F18" s="2">
        <v>7</v>
      </c>
      <c r="G18" s="18" t="s">
        <v>2349</v>
      </c>
      <c r="H18" s="2" t="s">
        <v>1714</v>
      </c>
      <c r="I18" s="14" t="str">
        <f t="shared" si="0"/>
        <v>kaaalis</v>
      </c>
      <c r="J18" s="14" t="str">
        <f t="shared" si="1"/>
        <v>Unique</v>
      </c>
    </row>
    <row r="19" spans="1:10" ht="15.75" customHeight="1" x14ac:dyDescent="0.15">
      <c r="A19" s="2" t="s">
        <v>512</v>
      </c>
      <c r="B19" s="14" t="s">
        <v>1694</v>
      </c>
      <c r="C19" s="14" t="s">
        <v>1695</v>
      </c>
      <c r="D19" s="14" t="str">
        <f t="shared" si="2"/>
        <v>How many letters are in the word \"kauuwi\"?"</v>
      </c>
      <c r="E19" s="14" t="str">
        <f t="shared" si="3"/>
        <v>Ilang titik mayroon ang salitang \"kauuwi\"?"</v>
      </c>
      <c r="F19" s="2">
        <v>6</v>
      </c>
      <c r="G19" s="18" t="s">
        <v>2350</v>
      </c>
      <c r="H19" s="2" t="s">
        <v>1715</v>
      </c>
      <c r="I19" s="14" t="str">
        <f t="shared" si="0"/>
        <v>kauuwi</v>
      </c>
      <c r="J19" s="14" t="str">
        <f t="shared" si="1"/>
        <v>Unique</v>
      </c>
    </row>
    <row r="20" spans="1:10" ht="15.75" customHeight="1" x14ac:dyDescent="0.15">
      <c r="A20" s="2" t="s">
        <v>512</v>
      </c>
      <c r="B20" s="14" t="s">
        <v>1694</v>
      </c>
      <c r="C20" s="14" t="s">
        <v>1695</v>
      </c>
      <c r="D20" s="14" t="str">
        <f t="shared" si="2"/>
        <v>How many letters are in the word \"sila-sila\"?"</v>
      </c>
      <c r="E20" s="14" t="str">
        <f t="shared" si="3"/>
        <v>Ilang titik mayroon ang salitang \"sila-sila\"?"</v>
      </c>
      <c r="F20" s="2">
        <v>8</v>
      </c>
      <c r="G20" s="18" t="s">
        <v>2351</v>
      </c>
      <c r="H20" s="2" t="s">
        <v>1716</v>
      </c>
      <c r="I20" s="14" t="str">
        <f t="shared" si="0"/>
        <v>silasila</v>
      </c>
      <c r="J20" s="14" t="str">
        <f t="shared" si="1"/>
        <v>Unique</v>
      </c>
    </row>
    <row r="21" spans="1:10" ht="15.75" customHeight="1" x14ac:dyDescent="0.15">
      <c r="A21" s="2" t="s">
        <v>512</v>
      </c>
      <c r="B21" s="14" t="s">
        <v>1694</v>
      </c>
      <c r="C21" s="14" t="s">
        <v>1695</v>
      </c>
      <c r="D21" s="14" t="str">
        <f t="shared" si="2"/>
        <v>How many letters are in the word \"kaniya-kaniya\"?"</v>
      </c>
      <c r="E21" s="14" t="str">
        <f t="shared" si="3"/>
        <v>Ilang titik mayroon ang salitang \"kaniya-kaniya\"?"</v>
      </c>
      <c r="F21" s="2">
        <v>12</v>
      </c>
      <c r="G21" s="18" t="s">
        <v>2352</v>
      </c>
      <c r="H21" s="2" t="s">
        <v>1717</v>
      </c>
      <c r="I21" s="14" t="str">
        <f t="shared" si="0"/>
        <v>kaniyakaniya</v>
      </c>
      <c r="J21" s="14" t="str">
        <f t="shared" si="1"/>
        <v>Unique</v>
      </c>
    </row>
    <row r="22" spans="1:10" ht="15.75" customHeight="1" x14ac:dyDescent="0.15">
      <c r="A22" s="2" t="s">
        <v>512</v>
      </c>
      <c r="B22" s="14" t="s">
        <v>1694</v>
      </c>
      <c r="C22" s="14" t="s">
        <v>1695</v>
      </c>
      <c r="D22" s="14" t="str">
        <f t="shared" si="2"/>
        <v>How many letters are in the word \"nilooban\"?"</v>
      </c>
      <c r="E22" s="14" t="str">
        <f t="shared" si="3"/>
        <v>Ilang titik mayroon ang salitang \"nilooban\"?"</v>
      </c>
      <c r="F22" s="15">
        <v>8</v>
      </c>
      <c r="G22" s="18" t="s">
        <v>2353</v>
      </c>
      <c r="H22" s="14" t="s">
        <v>1718</v>
      </c>
      <c r="I22" s="14" t="str">
        <f t="shared" si="0"/>
        <v>nilooban</v>
      </c>
      <c r="J22" s="14" t="str">
        <f t="shared" si="1"/>
        <v>Unique</v>
      </c>
    </row>
    <row r="23" spans="1:10" ht="15.75" customHeight="1" x14ac:dyDescent="0.15">
      <c r="A23" s="2" t="s">
        <v>512</v>
      </c>
      <c r="B23" s="14" t="s">
        <v>1694</v>
      </c>
      <c r="C23" s="14" t="s">
        <v>1695</v>
      </c>
      <c r="D23" s="14" t="str">
        <f t="shared" si="2"/>
        <v>How many letters are in the word \"makipag-iyakan\"?"</v>
      </c>
      <c r="E23" s="14" t="str">
        <f t="shared" si="3"/>
        <v>Ilang titik mayroon ang salitang \"makipag-iyakan\"?"</v>
      </c>
      <c r="F23" s="15">
        <v>13</v>
      </c>
      <c r="G23" s="18" t="s">
        <v>2354</v>
      </c>
      <c r="H23" s="14" t="s">
        <v>1719</v>
      </c>
      <c r="I23" s="14" t="str">
        <f t="shared" si="0"/>
        <v>makipagiyakan</v>
      </c>
      <c r="J23" s="14" t="str">
        <f t="shared" si="1"/>
        <v>Unique</v>
      </c>
    </row>
    <row r="24" spans="1:10" ht="15.75" customHeight="1" x14ac:dyDescent="0.15">
      <c r="A24" s="2" t="s">
        <v>512</v>
      </c>
      <c r="B24" s="14" t="s">
        <v>1694</v>
      </c>
      <c r="C24" s="14" t="s">
        <v>1695</v>
      </c>
      <c r="D24" s="14" t="str">
        <f t="shared" si="2"/>
        <v>How many letters are in the word \"nagkauban\"?"</v>
      </c>
      <c r="E24" s="14" t="str">
        <f t="shared" si="3"/>
        <v>Ilang titik mayroon ang salitang \"nagkauban\"?"</v>
      </c>
      <c r="F24" s="15">
        <v>9</v>
      </c>
      <c r="G24" s="18" t="s">
        <v>2355</v>
      </c>
      <c r="H24" s="14" t="s">
        <v>1720</v>
      </c>
      <c r="I24" s="14" t="str">
        <f t="shared" si="0"/>
        <v>nagkauban</v>
      </c>
      <c r="J24" s="14" t="str">
        <f t="shared" si="1"/>
        <v>Unique</v>
      </c>
    </row>
    <row r="25" spans="1:10" ht="15.75" customHeight="1" x14ac:dyDescent="0.15">
      <c r="A25" s="2" t="s">
        <v>512</v>
      </c>
      <c r="B25" s="14" t="s">
        <v>1694</v>
      </c>
      <c r="C25" s="14" t="s">
        <v>1695</v>
      </c>
      <c r="D25" s="14" t="str">
        <f t="shared" si="2"/>
        <v>How many letters are in the word \"napakamanhid\"?"</v>
      </c>
      <c r="E25" s="14" t="str">
        <f t="shared" si="3"/>
        <v>Ilang titik mayroon ang salitang \"napakamanhid\"?"</v>
      </c>
      <c r="F25" s="15">
        <v>12</v>
      </c>
      <c r="G25" s="18" t="s">
        <v>2356</v>
      </c>
      <c r="H25" s="14" t="s">
        <v>1721</v>
      </c>
      <c r="I25" s="14" t="str">
        <f t="shared" si="0"/>
        <v>napakamanhid</v>
      </c>
      <c r="J25" s="14" t="str">
        <f t="shared" si="1"/>
        <v>Unique</v>
      </c>
    </row>
    <row r="26" spans="1:10" ht="15.75" customHeight="1" x14ac:dyDescent="0.15">
      <c r="A26" s="2" t="s">
        <v>512</v>
      </c>
      <c r="B26" s="14" t="s">
        <v>1694</v>
      </c>
      <c r="C26" s="14" t="s">
        <v>1695</v>
      </c>
      <c r="D26" s="14" t="str">
        <f t="shared" si="2"/>
        <v>How many letters are in the word \"nakikisimba\"?"</v>
      </c>
      <c r="E26" s="14" t="str">
        <f t="shared" si="3"/>
        <v>Ilang titik mayroon ang salitang \"nakikisimba\"?"</v>
      </c>
      <c r="F26" s="15">
        <v>11</v>
      </c>
      <c r="G26" s="18" t="s">
        <v>2357</v>
      </c>
      <c r="H26" s="14" t="s">
        <v>1722</v>
      </c>
      <c r="I26" s="14" t="str">
        <f t="shared" si="0"/>
        <v>nakikisimba</v>
      </c>
      <c r="J26" s="14" t="str">
        <f t="shared" si="1"/>
        <v>Unique</v>
      </c>
    </row>
    <row r="27" spans="1:10" ht="15.75" customHeight="1" x14ac:dyDescent="0.15">
      <c r="A27" s="2" t="s">
        <v>512</v>
      </c>
      <c r="B27" s="14" t="s">
        <v>1694</v>
      </c>
      <c r="C27" s="14" t="s">
        <v>1695</v>
      </c>
      <c r="D27" s="14" t="str">
        <f t="shared" si="2"/>
        <v>How many letters are in the word \"nagkandaugaga\"?"</v>
      </c>
      <c r="E27" s="14" t="str">
        <f t="shared" si="3"/>
        <v>Ilang titik mayroon ang salitang \"nagkandaugaga\"?"</v>
      </c>
      <c r="F27" s="15">
        <v>13</v>
      </c>
      <c r="G27" s="18" t="s">
        <v>2358</v>
      </c>
      <c r="H27" s="14" t="s">
        <v>1723</v>
      </c>
      <c r="I27" s="14" t="str">
        <f t="shared" si="0"/>
        <v>nagkandaugaga</v>
      </c>
      <c r="J27" s="14" t="str">
        <f t="shared" si="1"/>
        <v>Unique</v>
      </c>
    </row>
    <row r="28" spans="1:10" ht="15.75" customHeight="1" x14ac:dyDescent="0.15">
      <c r="A28" s="2" t="s">
        <v>512</v>
      </c>
      <c r="B28" s="14" t="s">
        <v>1694</v>
      </c>
      <c r="C28" s="14" t="s">
        <v>1695</v>
      </c>
      <c r="D28" s="14" t="str">
        <f t="shared" si="2"/>
        <v>How many letters are in the word \"makakapaghabi\"?"</v>
      </c>
      <c r="E28" s="14" t="str">
        <f t="shared" si="3"/>
        <v>Ilang titik mayroon ang salitang \"makakapaghabi\"?"</v>
      </c>
      <c r="F28" s="15">
        <v>13</v>
      </c>
      <c r="G28" s="18" t="s">
        <v>2359</v>
      </c>
      <c r="H28" s="14" t="s">
        <v>1724</v>
      </c>
      <c r="I28" s="14" t="str">
        <f t="shared" si="0"/>
        <v>makakapaghabi</v>
      </c>
      <c r="J28" s="14" t="str">
        <f t="shared" si="1"/>
        <v>Unique</v>
      </c>
    </row>
    <row r="29" spans="1:10" ht="15.75" customHeight="1" x14ac:dyDescent="0.15">
      <c r="A29" s="2" t="s">
        <v>512</v>
      </c>
      <c r="B29" s="14" t="s">
        <v>1694</v>
      </c>
      <c r="C29" s="14" t="s">
        <v>1695</v>
      </c>
      <c r="D29" s="14" t="str">
        <f t="shared" si="2"/>
        <v>How many letters are in the word \"pamamagitan\"?"</v>
      </c>
      <c r="E29" s="14" t="str">
        <f t="shared" si="3"/>
        <v>Ilang titik mayroon ang salitang \"pamamagitan\"?"</v>
      </c>
      <c r="F29" s="15">
        <v>11</v>
      </c>
      <c r="G29" s="18" t="s">
        <v>2360</v>
      </c>
      <c r="H29" s="14" t="s">
        <v>1725</v>
      </c>
      <c r="I29" s="14" t="str">
        <f t="shared" si="0"/>
        <v>pamamagitan</v>
      </c>
      <c r="J29" s="14" t="str">
        <f t="shared" si="1"/>
        <v>Unique</v>
      </c>
    </row>
    <row r="30" spans="1:10" ht="15.75" customHeight="1" x14ac:dyDescent="0.15">
      <c r="A30" s="2" t="s">
        <v>512</v>
      </c>
      <c r="B30" s="14" t="s">
        <v>1694</v>
      </c>
      <c r="C30" s="14" t="s">
        <v>1695</v>
      </c>
      <c r="D30" s="14" t="str">
        <f t="shared" si="2"/>
        <v>How many letters are in the word \"ipaglaban\"?"</v>
      </c>
      <c r="E30" s="14" t="str">
        <f t="shared" si="3"/>
        <v>Ilang titik mayroon ang salitang \"ipaglaban\"?"</v>
      </c>
      <c r="F30" s="15">
        <v>9</v>
      </c>
      <c r="G30" s="18" t="s">
        <v>2361</v>
      </c>
      <c r="H30" s="14" t="s">
        <v>1726</v>
      </c>
      <c r="I30" s="14" t="str">
        <f t="shared" si="0"/>
        <v>ipaglaban</v>
      </c>
      <c r="J30" s="14" t="str">
        <f t="shared" si="1"/>
        <v>Unique</v>
      </c>
    </row>
    <row r="31" spans="1:10" ht="15.75" customHeight="1" x14ac:dyDescent="0.15">
      <c r="A31" s="2" t="s">
        <v>512</v>
      </c>
      <c r="B31" s="14" t="s">
        <v>1694</v>
      </c>
      <c r="C31" s="14" t="s">
        <v>1695</v>
      </c>
      <c r="D31" s="14" t="str">
        <f t="shared" si="2"/>
        <v>How many letters are in the word \"nakipag-away\"?"</v>
      </c>
      <c r="E31" s="14" t="str">
        <f t="shared" si="3"/>
        <v>Ilang titik mayroon ang salitang \"nakipag-away\"?"</v>
      </c>
      <c r="F31" s="15">
        <v>11</v>
      </c>
      <c r="G31" s="18" t="s">
        <v>2362</v>
      </c>
      <c r="H31" s="14" t="s">
        <v>1727</v>
      </c>
      <c r="I31" s="14" t="str">
        <f t="shared" si="0"/>
        <v>nakipagaway</v>
      </c>
      <c r="J31" s="14" t="str">
        <f t="shared" si="1"/>
        <v>Unique</v>
      </c>
    </row>
    <row r="32" spans="1:10" ht="15.75" customHeight="1" x14ac:dyDescent="0.15">
      <c r="A32" s="2" t="s">
        <v>512</v>
      </c>
      <c r="B32" s="14" t="s">
        <v>1694</v>
      </c>
      <c r="C32" s="14" t="s">
        <v>1695</v>
      </c>
      <c r="D32" s="14" t="str">
        <f t="shared" si="2"/>
        <v>How many letters are in the word \"makisubaybay\"?"</v>
      </c>
      <c r="E32" s="14" t="str">
        <f t="shared" si="3"/>
        <v>Ilang titik mayroon ang salitang \"makisubaybay\"?"</v>
      </c>
      <c r="F32" s="15">
        <v>12</v>
      </c>
      <c r="G32" s="18" t="s">
        <v>2363</v>
      </c>
      <c r="H32" s="14" t="s">
        <v>1728</v>
      </c>
      <c r="I32" s="14" t="str">
        <f t="shared" si="0"/>
        <v>makisubaybay</v>
      </c>
      <c r="J32" s="14" t="str">
        <f t="shared" si="1"/>
        <v>Unique</v>
      </c>
    </row>
    <row r="33" spans="1:12" ht="15.75" customHeight="1" x14ac:dyDescent="0.15">
      <c r="A33" s="2" t="s">
        <v>512</v>
      </c>
      <c r="B33" s="14" t="s">
        <v>1694</v>
      </c>
      <c r="C33" s="14" t="s">
        <v>1695</v>
      </c>
      <c r="D33" s="14" t="str">
        <f t="shared" si="2"/>
        <v>How many letters are in the word \"may-akda\"?"</v>
      </c>
      <c r="E33" s="14" t="str">
        <f t="shared" si="3"/>
        <v>Ilang titik mayroon ang salitang \"may-akda\"?"</v>
      </c>
      <c r="F33" s="15">
        <v>7</v>
      </c>
      <c r="G33" s="18" t="s">
        <v>2364</v>
      </c>
      <c r="H33" s="14" t="s">
        <v>1729</v>
      </c>
      <c r="I33" s="14" t="str">
        <f t="shared" si="0"/>
        <v>mayakda</v>
      </c>
      <c r="J33" s="14" t="str">
        <f t="shared" si="1"/>
        <v>Unique</v>
      </c>
      <c r="L33" s="15"/>
    </row>
    <row r="34" spans="1:12" ht="15.75" customHeight="1" x14ac:dyDescent="0.15">
      <c r="A34" s="2" t="s">
        <v>512</v>
      </c>
      <c r="B34" s="14" t="s">
        <v>1694</v>
      </c>
      <c r="C34" s="14" t="s">
        <v>1695</v>
      </c>
      <c r="D34" s="14" t="str">
        <f t="shared" si="2"/>
        <v>How many letters are in the word \"tag-ulan\"?"</v>
      </c>
      <c r="E34" s="14" t="str">
        <f t="shared" si="3"/>
        <v>Ilang titik mayroon ang salitang \"tag-ulan\"?"</v>
      </c>
      <c r="F34" s="15">
        <v>7</v>
      </c>
      <c r="G34" s="18" t="s">
        <v>2365</v>
      </c>
      <c r="H34" s="14" t="s">
        <v>1730</v>
      </c>
      <c r="I34" s="14" t="str">
        <f t="shared" si="0"/>
        <v>tagulan</v>
      </c>
      <c r="J34" s="14" t="str">
        <f t="shared" si="1"/>
        <v>Unique</v>
      </c>
      <c r="L34" s="15"/>
    </row>
    <row r="35" spans="1:12" ht="15.75" customHeight="1" x14ac:dyDescent="0.15">
      <c r="A35" s="2" t="s">
        <v>512</v>
      </c>
      <c r="B35" s="14" t="s">
        <v>1694</v>
      </c>
      <c r="C35" s="14" t="s">
        <v>1695</v>
      </c>
      <c r="D35" s="14" t="str">
        <f t="shared" si="2"/>
        <v>How many letters are in the word \"santinakpan\"?"</v>
      </c>
      <c r="E35" s="14" t="str">
        <f t="shared" si="3"/>
        <v>Ilang titik mayroon ang salitang \"santinakpan\"?"</v>
      </c>
      <c r="F35" s="15">
        <v>11</v>
      </c>
      <c r="G35" s="18" t="s">
        <v>2366</v>
      </c>
      <c r="H35" s="14" t="s">
        <v>1731</v>
      </c>
      <c r="I35" s="14" t="str">
        <f t="shared" si="0"/>
        <v>santinakpan</v>
      </c>
      <c r="J35" s="14" t="str">
        <f t="shared" si="1"/>
        <v>Unique</v>
      </c>
      <c r="L35" s="15"/>
    </row>
    <row r="36" spans="1:12" ht="15.75" customHeight="1" x14ac:dyDescent="0.15">
      <c r="A36" s="2" t="s">
        <v>512</v>
      </c>
      <c r="B36" s="14" t="s">
        <v>1694</v>
      </c>
      <c r="C36" s="14" t="s">
        <v>1695</v>
      </c>
      <c r="D36" s="14" t="str">
        <f t="shared" si="2"/>
        <v>How many letters are in the word \"nagpakabobo\"?"</v>
      </c>
      <c r="E36" s="14" t="str">
        <f t="shared" si="3"/>
        <v>Ilang titik mayroon ang salitang \"nagpakabobo\"?"</v>
      </c>
      <c r="F36" s="15">
        <v>11</v>
      </c>
      <c r="G36" s="18" t="s">
        <v>2367</v>
      </c>
      <c r="H36" s="14" t="s">
        <v>1732</v>
      </c>
      <c r="I36" s="14" t="str">
        <f t="shared" si="0"/>
        <v>nagpakabobo</v>
      </c>
      <c r="J36" s="14" t="str">
        <f t="shared" si="1"/>
        <v>Unique</v>
      </c>
      <c r="L36" s="15"/>
    </row>
    <row r="37" spans="1:12" ht="15.75" customHeight="1" x14ac:dyDescent="0.15">
      <c r="A37" s="2" t="s">
        <v>512</v>
      </c>
      <c r="B37" s="14" t="s">
        <v>1694</v>
      </c>
      <c r="C37" s="14" t="s">
        <v>1695</v>
      </c>
      <c r="D37" s="14" t="str">
        <f t="shared" si="2"/>
        <v>How many letters are in the word \"de-susi\"?"</v>
      </c>
      <c r="E37" s="14" t="str">
        <f t="shared" si="3"/>
        <v>Ilang titik mayroon ang salitang \"de-susi\"?"</v>
      </c>
      <c r="F37" s="15">
        <v>6</v>
      </c>
      <c r="G37" s="18" t="s">
        <v>2368</v>
      </c>
      <c r="H37" s="14" t="s">
        <v>1733</v>
      </c>
      <c r="I37" s="14" t="str">
        <f t="shared" si="0"/>
        <v>desusi</v>
      </c>
      <c r="J37" s="14" t="str">
        <f t="shared" si="1"/>
        <v>Unique</v>
      </c>
      <c r="L37" s="15"/>
    </row>
    <row r="38" spans="1:12" ht="15.75" customHeight="1" x14ac:dyDescent="0.15">
      <c r="A38" s="2" t="s">
        <v>512</v>
      </c>
      <c r="B38" s="14" t="s">
        <v>1694</v>
      </c>
      <c r="C38" s="14" t="s">
        <v>1695</v>
      </c>
      <c r="D38" s="14" t="str">
        <f t="shared" si="2"/>
        <v>How many letters are in the word \"gatuldok\"?"</v>
      </c>
      <c r="E38" s="14" t="str">
        <f t="shared" si="3"/>
        <v>Ilang titik mayroon ang salitang \"gatuldok\"?"</v>
      </c>
      <c r="F38" s="15">
        <v>8</v>
      </c>
      <c r="G38" s="18" t="s">
        <v>2369</v>
      </c>
      <c r="H38" s="14" t="s">
        <v>1734</v>
      </c>
      <c r="I38" s="14" t="str">
        <f t="shared" si="0"/>
        <v>gatuldok</v>
      </c>
      <c r="J38" s="14" t="str">
        <f t="shared" si="1"/>
        <v>Unique</v>
      </c>
    </row>
    <row r="39" spans="1:12" ht="15.75" customHeight="1" x14ac:dyDescent="0.15">
      <c r="A39" s="2" t="s">
        <v>512</v>
      </c>
      <c r="B39" s="14" t="s">
        <v>1694</v>
      </c>
      <c r="C39" s="14" t="s">
        <v>1695</v>
      </c>
      <c r="D39" s="14" t="str">
        <f t="shared" si="2"/>
        <v>How many letters are in the word \"tindera\"?"</v>
      </c>
      <c r="E39" s="14" t="str">
        <f t="shared" si="3"/>
        <v>Ilang titik mayroon ang salitang \"tindera\"?"</v>
      </c>
      <c r="F39" s="15">
        <v>7</v>
      </c>
      <c r="G39" s="18" t="s">
        <v>2370</v>
      </c>
      <c r="H39" s="14" t="s">
        <v>1735</v>
      </c>
      <c r="I39" s="14" t="str">
        <f t="shared" si="0"/>
        <v>tindera</v>
      </c>
      <c r="J39" s="14" t="str">
        <f t="shared" si="1"/>
        <v>Unique</v>
      </c>
    </row>
    <row r="40" spans="1:12" ht="15.75" customHeight="1" x14ac:dyDescent="0.15">
      <c r="A40" s="2" t="s">
        <v>512</v>
      </c>
      <c r="B40" s="14" t="s">
        <v>1694</v>
      </c>
      <c r="C40" s="14" t="s">
        <v>1695</v>
      </c>
      <c r="D40" s="14" t="str">
        <f t="shared" si="2"/>
        <v>How many letters are in the word \"tagapanatili\"?"</v>
      </c>
      <c r="E40" s="14" t="str">
        <f t="shared" si="3"/>
        <v>Ilang titik mayroon ang salitang \"tagapanatili\"?"</v>
      </c>
      <c r="F40" s="2">
        <v>12</v>
      </c>
      <c r="G40" s="18" t="s">
        <v>2371</v>
      </c>
      <c r="H40" s="14" t="s">
        <v>1736</v>
      </c>
      <c r="I40" s="14" t="str">
        <f t="shared" si="0"/>
        <v>tagapanatili</v>
      </c>
      <c r="J40" s="14" t="str">
        <f t="shared" si="1"/>
        <v>Unique</v>
      </c>
      <c r="L40" s="15"/>
    </row>
    <row r="41" spans="1:12" ht="15.75" customHeight="1" x14ac:dyDescent="0.15">
      <c r="A41" s="2" t="s">
        <v>512</v>
      </c>
      <c r="B41" s="14" t="s">
        <v>1694</v>
      </c>
      <c r="C41" s="14" t="s">
        <v>1695</v>
      </c>
      <c r="D41" s="14" t="str">
        <f t="shared" si="2"/>
        <v>How many letters are in the word \"magsisipagsali\"?"</v>
      </c>
      <c r="E41" s="14" t="str">
        <f t="shared" si="3"/>
        <v>Ilang titik mayroon ang salitang \"magsisipagsali\"?"</v>
      </c>
      <c r="F41" s="2">
        <v>14</v>
      </c>
      <c r="G41" s="18" t="s">
        <v>2372</v>
      </c>
      <c r="H41" s="14" t="s">
        <v>1737</v>
      </c>
      <c r="I41" s="14" t="str">
        <f t="shared" si="0"/>
        <v>magsisipagsali</v>
      </c>
      <c r="J41" s="14" t="str">
        <f t="shared" si="1"/>
        <v>Unique</v>
      </c>
      <c r="L41" s="15"/>
    </row>
    <row r="42" spans="1:12" ht="15.75" customHeight="1" x14ac:dyDescent="0.15">
      <c r="A42" s="2" t="s">
        <v>512</v>
      </c>
      <c r="B42" s="14" t="s">
        <v>1694</v>
      </c>
      <c r="C42" s="14" t="s">
        <v>1695</v>
      </c>
      <c r="D42" s="14" t="str">
        <f t="shared" si="2"/>
        <v>How many letters are in the word \"napaglipasan\"?"</v>
      </c>
      <c r="E42" s="14" t="str">
        <f t="shared" si="3"/>
        <v>Ilang titik mayroon ang salitang \"napaglipasan\"?"</v>
      </c>
      <c r="F42" s="2">
        <v>12</v>
      </c>
      <c r="G42" s="18" t="s">
        <v>2373</v>
      </c>
      <c r="H42" s="2" t="s">
        <v>1738</v>
      </c>
      <c r="I42" s="14" t="str">
        <f t="shared" si="0"/>
        <v>napaglipasan</v>
      </c>
      <c r="J42" s="14" t="str">
        <f t="shared" si="1"/>
        <v>Unique</v>
      </c>
      <c r="L42" s="15"/>
    </row>
    <row r="43" spans="1:12" ht="15.75" customHeight="1" x14ac:dyDescent="0.15">
      <c r="A43" s="2" t="s">
        <v>512</v>
      </c>
      <c r="B43" s="14" t="s">
        <v>1694</v>
      </c>
      <c r="C43" s="14" t="s">
        <v>1695</v>
      </c>
      <c r="D43" s="14" t="str">
        <f t="shared" si="2"/>
        <v>How many letters are in the word \"pag-abiso\"?"</v>
      </c>
      <c r="E43" s="14" t="str">
        <f t="shared" si="3"/>
        <v>Ilang titik mayroon ang salitang \"pag-abiso\"?"</v>
      </c>
      <c r="F43" s="2">
        <v>8</v>
      </c>
      <c r="G43" s="18" t="s">
        <v>2374</v>
      </c>
      <c r="H43" s="14" t="s">
        <v>1739</v>
      </c>
      <c r="I43" s="14" t="str">
        <f t="shared" si="0"/>
        <v>pagabiso</v>
      </c>
      <c r="J43" s="14" t="str">
        <f t="shared" si="1"/>
        <v>Unique</v>
      </c>
      <c r="L43" s="15"/>
    </row>
    <row r="44" spans="1:12" ht="15.75" customHeight="1" x14ac:dyDescent="0.15">
      <c r="A44" s="2" t="s">
        <v>512</v>
      </c>
      <c r="B44" s="14" t="s">
        <v>1694</v>
      </c>
      <c r="C44" s="14" t="s">
        <v>1695</v>
      </c>
      <c r="D44" s="14" t="str">
        <f t="shared" si="2"/>
        <v>How many letters are in the word \"mapagtampo\"?"</v>
      </c>
      <c r="E44" s="14" t="str">
        <f t="shared" si="3"/>
        <v>Ilang titik mayroon ang salitang \"mapagtampo\"?"</v>
      </c>
      <c r="F44" s="2">
        <v>10</v>
      </c>
      <c r="G44" s="18" t="s">
        <v>2375</v>
      </c>
      <c r="H44" s="14" t="s">
        <v>1740</v>
      </c>
      <c r="I44" s="14" t="str">
        <f t="shared" si="0"/>
        <v>mapagtampo</v>
      </c>
      <c r="J44" s="14" t="str">
        <f t="shared" si="1"/>
        <v>Unique</v>
      </c>
      <c r="L44" s="15"/>
    </row>
    <row r="45" spans="1:12" ht="15.75" customHeight="1" x14ac:dyDescent="0.15">
      <c r="A45" s="2" t="s">
        <v>512</v>
      </c>
      <c r="B45" s="14" t="s">
        <v>1694</v>
      </c>
      <c r="C45" s="14" t="s">
        <v>1695</v>
      </c>
      <c r="D45" s="14" t="str">
        <f t="shared" si="2"/>
        <v>How many letters are in the word \"simbigo\"?"</v>
      </c>
      <c r="E45" s="14" t="str">
        <f t="shared" si="3"/>
        <v>Ilang titik mayroon ang salitang \"simbigo\"?"</v>
      </c>
      <c r="F45" s="2">
        <v>7</v>
      </c>
      <c r="G45" s="18" t="s">
        <v>2376</v>
      </c>
      <c r="H45" s="14" t="s">
        <v>1741</v>
      </c>
      <c r="I45" s="14" t="str">
        <f t="shared" si="0"/>
        <v>simbigo</v>
      </c>
      <c r="J45" s="14" t="str">
        <f t="shared" si="1"/>
        <v>Unique</v>
      </c>
      <c r="L45" s="15"/>
    </row>
    <row r="46" spans="1:12" ht="15.75" customHeight="1" x14ac:dyDescent="0.15">
      <c r="A46" s="2" t="s">
        <v>512</v>
      </c>
      <c r="B46" s="14" t="s">
        <v>1694</v>
      </c>
      <c r="C46" s="14" t="s">
        <v>1695</v>
      </c>
      <c r="D46" s="14" t="str">
        <f t="shared" si="2"/>
        <v>How many letters are in the word \"nagsitayo\"?"</v>
      </c>
      <c r="E46" s="14" t="str">
        <f t="shared" si="3"/>
        <v>Ilang titik mayroon ang salitang \"nagsitayo\"?"</v>
      </c>
      <c r="F46" s="2">
        <v>9</v>
      </c>
      <c r="G46" s="18" t="s">
        <v>2377</v>
      </c>
      <c r="H46" s="14" t="s">
        <v>1742</v>
      </c>
      <c r="I46" s="14" t="str">
        <f t="shared" si="0"/>
        <v>nagsitayo</v>
      </c>
      <c r="J46" s="14" t="str">
        <f t="shared" si="1"/>
        <v>Unique</v>
      </c>
      <c r="L46" s="15"/>
    </row>
    <row r="47" spans="1:12" ht="15.75" customHeight="1" x14ac:dyDescent="0.15">
      <c r="A47" s="2" t="s">
        <v>512</v>
      </c>
      <c r="B47" s="14" t="s">
        <v>1694</v>
      </c>
      <c r="C47" s="14" t="s">
        <v>1695</v>
      </c>
      <c r="D47" s="14" t="str">
        <f t="shared" si="2"/>
        <v>How many letters are in the word \"bulate\"?"</v>
      </c>
      <c r="E47" s="14" t="str">
        <f t="shared" si="3"/>
        <v>Ilang titik mayroon ang salitang \"bulate\"?"</v>
      </c>
      <c r="F47" s="2">
        <v>6</v>
      </c>
      <c r="G47" s="18" t="s">
        <v>2378</v>
      </c>
      <c r="H47" s="14" t="s">
        <v>1743</v>
      </c>
      <c r="I47" s="14" t="str">
        <f t="shared" si="0"/>
        <v>bulate</v>
      </c>
      <c r="J47" s="14" t="str">
        <f t="shared" si="1"/>
        <v>Unique</v>
      </c>
      <c r="L47" s="15"/>
    </row>
    <row r="48" spans="1:12" ht="15.75" customHeight="1" x14ac:dyDescent="0.15">
      <c r="A48" s="2" t="s">
        <v>512</v>
      </c>
      <c r="B48" s="14" t="s">
        <v>1694</v>
      </c>
      <c r="C48" s="14" t="s">
        <v>1695</v>
      </c>
      <c r="D48" s="14" t="str">
        <f t="shared" si="2"/>
        <v>How many letters are in the word \"pinakadetalyado\"?"</v>
      </c>
      <c r="E48" s="14" t="str">
        <f t="shared" si="3"/>
        <v>Ilang titik mayroon ang salitang \"pinakadetalyado\"?"</v>
      </c>
      <c r="F48" s="2">
        <v>15</v>
      </c>
      <c r="G48" s="18" t="s">
        <v>2379</v>
      </c>
      <c r="H48" s="14" t="s">
        <v>1744</v>
      </c>
      <c r="I48" s="14" t="str">
        <f t="shared" si="0"/>
        <v>pinakadetalyado</v>
      </c>
      <c r="J48" s="14" t="str">
        <f t="shared" si="1"/>
        <v>Unique</v>
      </c>
      <c r="L48" s="15"/>
    </row>
    <row r="49" spans="1:12" ht="15.75" customHeight="1" x14ac:dyDescent="0.15">
      <c r="A49" s="2" t="s">
        <v>512</v>
      </c>
      <c r="B49" s="14" t="s">
        <v>1694</v>
      </c>
      <c r="C49" s="14" t="s">
        <v>1695</v>
      </c>
      <c r="D49" s="14" t="str">
        <f t="shared" si="2"/>
        <v>How many letters are in the word \"pambubusabos\"?"</v>
      </c>
      <c r="E49" s="14" t="str">
        <f t="shared" si="3"/>
        <v>Ilang titik mayroon ang salitang \"pambubusabos\"?"</v>
      </c>
      <c r="F49" s="2">
        <v>12</v>
      </c>
      <c r="G49" s="18" t="s">
        <v>2380</v>
      </c>
      <c r="H49" s="14" t="s">
        <v>1745</v>
      </c>
      <c r="I49" s="14" t="str">
        <f t="shared" si="0"/>
        <v>pambubusabos</v>
      </c>
      <c r="J49" s="14" t="str">
        <f t="shared" si="1"/>
        <v>Unique</v>
      </c>
      <c r="L49" s="15"/>
    </row>
    <row r="50" spans="1:12" ht="15.75" customHeight="1" x14ac:dyDescent="0.15">
      <c r="A50" s="2" t="s">
        <v>512</v>
      </c>
      <c r="B50" s="14" t="s">
        <v>1694</v>
      </c>
      <c r="C50" s="14" t="s">
        <v>1695</v>
      </c>
      <c r="D50" s="14" t="str">
        <f t="shared" si="2"/>
        <v>How many letters are in the word \"magpapasahod\"?"</v>
      </c>
      <c r="E50" s="14" t="str">
        <f t="shared" si="3"/>
        <v>Ilang titik mayroon ang salitang \"magpapasahod\"?"</v>
      </c>
      <c r="F50" s="2">
        <v>12</v>
      </c>
      <c r="G50" s="18" t="s">
        <v>2381</v>
      </c>
      <c r="H50" s="14" t="s">
        <v>1746</v>
      </c>
      <c r="I50" s="14" t="str">
        <f t="shared" si="0"/>
        <v>magpapasahod</v>
      </c>
      <c r="J50" s="14" t="str">
        <f t="shared" si="1"/>
        <v>Unique</v>
      </c>
      <c r="L50" s="15"/>
    </row>
    <row r="51" spans="1:12" ht="15.75" customHeight="1" x14ac:dyDescent="0.15">
      <c r="A51" s="2" t="s">
        <v>512</v>
      </c>
      <c r="B51" s="14" t="s">
        <v>1694</v>
      </c>
      <c r="C51" s="14" t="s">
        <v>1695</v>
      </c>
      <c r="D51" s="14" t="str">
        <f t="shared" si="2"/>
        <v>How many letters are in the word \"paruparo\"?"</v>
      </c>
      <c r="E51" s="14" t="str">
        <f t="shared" si="3"/>
        <v>Ilang titik mayroon ang salitang \"paruparo\"?"</v>
      </c>
      <c r="F51" s="2">
        <v>8</v>
      </c>
      <c r="G51" s="18" t="s">
        <v>2382</v>
      </c>
      <c r="H51" s="2" t="s">
        <v>1747</v>
      </c>
      <c r="I51" s="14" t="str">
        <f t="shared" si="0"/>
        <v>paruparo</v>
      </c>
      <c r="J51" s="14" t="str">
        <f t="shared" si="1"/>
        <v>Unique</v>
      </c>
      <c r="L51" s="15"/>
    </row>
    <row r="52" spans="1:12" ht="15.75" customHeight="1" x14ac:dyDescent="0.15">
      <c r="A52" s="2" t="s">
        <v>512</v>
      </c>
      <c r="B52" s="14" t="s">
        <v>1694</v>
      </c>
      <c r="C52" s="14" t="s">
        <v>1748</v>
      </c>
      <c r="D52" s="14" t="str">
        <f t="shared" si="2"/>
        <v>How many letters are in the word \"napagsang-ayunan\"?"</v>
      </c>
      <c r="E52" s="14" t="str">
        <f t="shared" si="3"/>
        <v>Ilang titik mayroon ang salitang \"napagsang-ayunan\"?"</v>
      </c>
      <c r="F52" s="15">
        <v>14</v>
      </c>
      <c r="G52" s="18" t="s">
        <v>2383</v>
      </c>
      <c r="H52" s="14" t="s">
        <v>1749</v>
      </c>
      <c r="I52" s="14" t="str">
        <f t="shared" si="0"/>
        <v>napagsaxayunan</v>
      </c>
      <c r="J52" s="14" t="str">
        <f t="shared" si="1"/>
        <v>Unique</v>
      </c>
      <c r="L52" s="15"/>
    </row>
    <row r="53" spans="1:12" ht="15.75" customHeight="1" x14ac:dyDescent="0.15">
      <c r="A53" s="2" t="s">
        <v>512</v>
      </c>
      <c r="B53" s="14" t="s">
        <v>1694</v>
      </c>
      <c r="C53" s="14" t="s">
        <v>1748</v>
      </c>
      <c r="D53" s="14" t="str">
        <f t="shared" si="2"/>
        <v>How many letters are in the word \"magsisidating\"?"</v>
      </c>
      <c r="E53" s="14" t="str">
        <f t="shared" si="3"/>
        <v>Ilang titik mayroon ang salitang \"magsisidating\"?"</v>
      </c>
      <c r="F53" s="15">
        <v>13</v>
      </c>
      <c r="G53" s="18" t="s">
        <v>2384</v>
      </c>
      <c r="H53" s="14" t="s">
        <v>1750</v>
      </c>
      <c r="I53" s="14" t="str">
        <f t="shared" si="0"/>
        <v>magsisidatix</v>
      </c>
      <c r="J53" s="14" t="str">
        <f t="shared" si="1"/>
        <v>Unique</v>
      </c>
      <c r="L53" s="15"/>
    </row>
    <row r="54" spans="1:12" ht="15.75" customHeight="1" x14ac:dyDescent="0.15">
      <c r="A54" s="2" t="s">
        <v>512</v>
      </c>
      <c r="B54" s="14" t="s">
        <v>1694</v>
      </c>
      <c r="C54" s="14" t="s">
        <v>1748</v>
      </c>
      <c r="D54" s="14" t="str">
        <f t="shared" si="2"/>
        <v>How many letters are in the word \"nagpang-abot\"?"</v>
      </c>
      <c r="E54" s="14" t="str">
        <f t="shared" si="3"/>
        <v>Ilang titik mayroon ang salitang \"nagpang-abot\"?"</v>
      </c>
      <c r="F54" s="15">
        <v>10</v>
      </c>
      <c r="G54" s="18" t="s">
        <v>2385</v>
      </c>
      <c r="H54" s="14" t="s">
        <v>1751</v>
      </c>
      <c r="I54" s="14" t="str">
        <f t="shared" si="0"/>
        <v>nagpaxabot</v>
      </c>
      <c r="J54" s="14" t="str">
        <f t="shared" si="1"/>
        <v>Unique</v>
      </c>
      <c r="L54" s="15"/>
    </row>
    <row r="55" spans="1:12" ht="15.75" customHeight="1" x14ac:dyDescent="0.15">
      <c r="A55" s="2" t="s">
        <v>512</v>
      </c>
      <c r="B55" s="14" t="s">
        <v>1694</v>
      </c>
      <c r="C55" s="14" t="s">
        <v>1748</v>
      </c>
      <c r="D55" s="14" t="str">
        <f t="shared" si="2"/>
        <v>How many letters are in the word \"magmagaling\"?"</v>
      </c>
      <c r="E55" s="14" t="str">
        <f t="shared" si="3"/>
        <v>Ilang titik mayroon ang salitang \"magmagaling\"?"</v>
      </c>
      <c r="F55" s="15">
        <v>10</v>
      </c>
      <c r="G55" s="18" t="s">
        <v>2386</v>
      </c>
      <c r="H55" s="14" t="s">
        <v>1752</v>
      </c>
      <c r="I55" s="14" t="str">
        <f t="shared" si="0"/>
        <v>magmagalix</v>
      </c>
      <c r="J55" s="14" t="str">
        <f t="shared" si="1"/>
        <v>Unique</v>
      </c>
      <c r="L55" s="15"/>
    </row>
    <row r="56" spans="1:12" ht="15.75" customHeight="1" x14ac:dyDescent="0.15">
      <c r="A56" s="2" t="s">
        <v>512</v>
      </c>
      <c r="B56" s="14" t="s">
        <v>1694</v>
      </c>
      <c r="C56" s="14" t="s">
        <v>1748</v>
      </c>
      <c r="D56" s="14" t="str">
        <f t="shared" si="2"/>
        <v>How many letters are in the word \"ipagising\"?"</v>
      </c>
      <c r="E56" s="14" t="str">
        <f t="shared" si="3"/>
        <v>Ilang titik mayroon ang salitang \"ipagising\"?"</v>
      </c>
      <c r="F56" s="15">
        <v>8</v>
      </c>
      <c r="G56" s="18" t="s">
        <v>2387</v>
      </c>
      <c r="H56" s="14" t="s">
        <v>1753</v>
      </c>
      <c r="I56" s="14" t="str">
        <f t="shared" si="0"/>
        <v>ipagisix</v>
      </c>
      <c r="J56" s="14" t="str">
        <f t="shared" si="1"/>
        <v>Unique</v>
      </c>
      <c r="L56" s="15"/>
    </row>
    <row r="57" spans="1:12" ht="15.75" customHeight="1" x14ac:dyDescent="0.15">
      <c r="A57" s="2" t="s">
        <v>512</v>
      </c>
      <c r="B57" s="14" t="s">
        <v>1694</v>
      </c>
      <c r="C57" s="14" t="s">
        <v>1748</v>
      </c>
      <c r="D57" s="14" t="str">
        <f t="shared" si="2"/>
        <v>How many letters are in the word \"makapanghumaling\"?"</v>
      </c>
      <c r="E57" s="14" t="str">
        <f t="shared" si="3"/>
        <v>Ilang titik mayroon ang salitang \"makapanghumaling\"?"</v>
      </c>
      <c r="F57" s="15">
        <v>15</v>
      </c>
      <c r="G57" s="18" t="s">
        <v>2388</v>
      </c>
      <c r="H57" s="14" t="s">
        <v>1754</v>
      </c>
      <c r="I57" s="14" t="str">
        <f t="shared" si="0"/>
        <v>makapaxhumalix</v>
      </c>
      <c r="J57" s="14" t="str">
        <f t="shared" si="1"/>
        <v>Unique</v>
      </c>
      <c r="L57" s="15"/>
    </row>
    <row r="58" spans="1:12" ht="15.75" customHeight="1" x14ac:dyDescent="0.15">
      <c r="A58" s="2" t="s">
        <v>512</v>
      </c>
      <c r="B58" s="14" t="s">
        <v>1694</v>
      </c>
      <c r="C58" s="14" t="s">
        <v>1748</v>
      </c>
      <c r="D58" s="14" t="str">
        <f t="shared" si="2"/>
        <v>How many letters are in the word \"pakisungkit\"?"</v>
      </c>
      <c r="E58" s="14" t="str">
        <f t="shared" si="3"/>
        <v>Ilang titik mayroon ang salitang \"pakisungkit\"?"</v>
      </c>
      <c r="F58" s="15">
        <v>10</v>
      </c>
      <c r="G58" s="18" t="s">
        <v>2389</v>
      </c>
      <c r="H58" s="14" t="s">
        <v>1755</v>
      </c>
      <c r="I58" s="14" t="str">
        <f t="shared" si="0"/>
        <v>pakisuxkit</v>
      </c>
      <c r="J58" s="14" t="str">
        <f t="shared" si="1"/>
        <v>Unique</v>
      </c>
      <c r="L58" s="15"/>
    </row>
    <row r="59" spans="1:12" ht="15.75" customHeight="1" x14ac:dyDescent="0.15">
      <c r="A59" s="2" t="s">
        <v>512</v>
      </c>
      <c r="B59" s="14" t="s">
        <v>1694</v>
      </c>
      <c r="C59" s="14" t="s">
        <v>1748</v>
      </c>
      <c r="D59" s="14" t="str">
        <f t="shared" si="2"/>
        <v>How many letters are in the word \"pakikitungo\"?"</v>
      </c>
      <c r="E59" s="14" t="str">
        <f t="shared" si="3"/>
        <v>Ilang titik mayroon ang salitang \"pakikitungo\"?"</v>
      </c>
      <c r="F59" s="15">
        <v>10</v>
      </c>
      <c r="G59" s="18" t="s">
        <v>2390</v>
      </c>
      <c r="H59" s="14" t="s">
        <v>1756</v>
      </c>
      <c r="I59" s="14" t="str">
        <f t="shared" si="0"/>
        <v>pakikituxo</v>
      </c>
      <c r="J59" s="14" t="str">
        <f t="shared" si="1"/>
        <v>Unique</v>
      </c>
      <c r="L59" s="15"/>
    </row>
    <row r="60" spans="1:12" ht="15.75" customHeight="1" x14ac:dyDescent="0.15">
      <c r="A60" s="2" t="s">
        <v>512</v>
      </c>
      <c r="B60" s="14" t="s">
        <v>1694</v>
      </c>
      <c r="C60" s="14" t="s">
        <v>1748</v>
      </c>
      <c r="D60" s="14" t="str">
        <f t="shared" si="2"/>
        <v>How many letters are in the word \"itinuring\"?"</v>
      </c>
      <c r="E60" s="14" t="str">
        <f t="shared" si="3"/>
        <v>Ilang titik mayroon ang salitang \"itinuring\"?"</v>
      </c>
      <c r="F60" s="15">
        <v>8</v>
      </c>
      <c r="G60" s="18" t="s">
        <v>2391</v>
      </c>
      <c r="H60" s="14" t="s">
        <v>1757</v>
      </c>
      <c r="I60" s="14" t="str">
        <f t="shared" si="0"/>
        <v>itinurix</v>
      </c>
      <c r="J60" s="14" t="str">
        <f t="shared" si="1"/>
        <v>Unique</v>
      </c>
      <c r="L60" s="15"/>
    </row>
    <row r="61" spans="1:12" ht="15.75" customHeight="1" x14ac:dyDescent="0.15">
      <c r="A61" s="2" t="s">
        <v>512</v>
      </c>
      <c r="B61" s="14" t="s">
        <v>1694</v>
      </c>
      <c r="C61" s="14" t="s">
        <v>1748</v>
      </c>
      <c r="D61" s="14" t="str">
        <f t="shared" si="2"/>
        <v>How many letters are in the word \"magpakapanganay\"?"</v>
      </c>
      <c r="E61" s="14" t="str">
        <f t="shared" si="3"/>
        <v>Ilang titik mayroon ang salitang \"magpakapanganay\"?"</v>
      </c>
      <c r="F61" s="15">
        <v>14</v>
      </c>
      <c r="G61" s="18" t="s">
        <v>2392</v>
      </c>
      <c r="H61" s="14" t="s">
        <v>1758</v>
      </c>
      <c r="I61" s="14" t="str">
        <f t="shared" si="0"/>
        <v>magpakapaxanay</v>
      </c>
      <c r="J61" s="14" t="str">
        <f t="shared" si="1"/>
        <v>Unique</v>
      </c>
      <c r="L61" s="15"/>
    </row>
    <row r="62" spans="1:12" ht="15.75" customHeight="1" x14ac:dyDescent="0.15">
      <c r="A62" s="2" t="s">
        <v>512</v>
      </c>
      <c r="B62" s="14" t="s">
        <v>1694</v>
      </c>
      <c r="C62" s="14" t="s">
        <v>1748</v>
      </c>
      <c r="D62" s="14" t="str">
        <f t="shared" si="2"/>
        <v>How many letters are in the word \"ikawiwindang\"?"</v>
      </c>
      <c r="E62" s="14" t="str">
        <f t="shared" si="3"/>
        <v>Ilang titik mayroon ang salitang \"ikawiwindang\"?"</v>
      </c>
      <c r="F62" s="15">
        <v>11</v>
      </c>
      <c r="G62" s="18" t="s">
        <v>2393</v>
      </c>
      <c r="H62" s="14" t="s">
        <v>1759</v>
      </c>
      <c r="I62" s="14" t="str">
        <f t="shared" si="0"/>
        <v>ikawiwindax</v>
      </c>
      <c r="J62" s="14" t="str">
        <f t="shared" si="1"/>
        <v>Unique</v>
      </c>
      <c r="L62" s="15"/>
    </row>
    <row r="63" spans="1:12" ht="15.75" customHeight="1" x14ac:dyDescent="0.15">
      <c r="A63" s="2" t="s">
        <v>512</v>
      </c>
      <c r="B63" s="14" t="s">
        <v>1694</v>
      </c>
      <c r="C63" s="14" t="s">
        <v>1748</v>
      </c>
      <c r="D63" s="14" t="str">
        <f t="shared" si="2"/>
        <v>How many letters are in the word \"palutang-lutang\"?"</v>
      </c>
      <c r="E63" s="14" t="str">
        <f t="shared" si="3"/>
        <v>Ilang titik mayroon ang salitang \"palutang-lutang\"?"</v>
      </c>
      <c r="F63" s="15">
        <v>12</v>
      </c>
      <c r="G63" s="18" t="s">
        <v>2394</v>
      </c>
      <c r="H63" s="14" t="s">
        <v>1760</v>
      </c>
      <c r="I63" s="14" t="str">
        <f t="shared" si="0"/>
        <v>palutaxlutax</v>
      </c>
      <c r="J63" s="14" t="str">
        <f t="shared" si="1"/>
        <v>Unique</v>
      </c>
      <c r="L63" s="15"/>
    </row>
    <row r="64" spans="1:12" ht="15.75" customHeight="1" x14ac:dyDescent="0.15">
      <c r="A64" s="2" t="s">
        <v>512</v>
      </c>
      <c r="B64" s="14" t="s">
        <v>1694</v>
      </c>
      <c r="C64" s="14" t="s">
        <v>1748</v>
      </c>
      <c r="D64" s="14" t="str">
        <f t="shared" si="2"/>
        <v>How many letters are in the word \"katatalukbong\"?"</v>
      </c>
      <c r="E64" s="14" t="str">
        <f t="shared" si="3"/>
        <v>Ilang titik mayroon ang salitang \"katatalukbong\"?"</v>
      </c>
      <c r="F64" s="15">
        <v>12</v>
      </c>
      <c r="G64" s="18" t="s">
        <v>2395</v>
      </c>
      <c r="H64" s="14" t="s">
        <v>1761</v>
      </c>
      <c r="I64" s="14" t="str">
        <f t="shared" si="0"/>
        <v>katatalukbox</v>
      </c>
      <c r="J64" s="14" t="str">
        <f t="shared" si="1"/>
        <v>Unique</v>
      </c>
      <c r="L64" s="15"/>
    </row>
    <row r="65" spans="1:12" ht="15.75" customHeight="1" x14ac:dyDescent="0.15">
      <c r="A65" s="2" t="s">
        <v>512</v>
      </c>
      <c r="B65" s="14" t="s">
        <v>1694</v>
      </c>
      <c r="C65" s="14" t="s">
        <v>1748</v>
      </c>
      <c r="D65" s="14" t="str">
        <f t="shared" si="2"/>
        <v>How many letters are in the word \"paglibangan\"?"</v>
      </c>
      <c r="E65" s="14" t="str">
        <f t="shared" si="3"/>
        <v>Ilang titik mayroon ang salitang \"paglibangan\"?"</v>
      </c>
      <c r="F65" s="15">
        <v>10</v>
      </c>
      <c r="G65" s="18" t="s">
        <v>2396</v>
      </c>
      <c r="H65" s="14" t="s">
        <v>1762</v>
      </c>
      <c r="I65" s="14" t="str">
        <f t="shared" si="0"/>
        <v>paglibaxan</v>
      </c>
      <c r="J65" s="14" t="str">
        <f t="shared" si="1"/>
        <v>Unique</v>
      </c>
    </row>
    <row r="66" spans="1:12" ht="15.75" customHeight="1" x14ac:dyDescent="0.15">
      <c r="A66" s="2" t="s">
        <v>512</v>
      </c>
      <c r="B66" s="14" t="s">
        <v>1694</v>
      </c>
      <c r="C66" s="14" t="s">
        <v>1748</v>
      </c>
      <c r="D66" s="14" t="str">
        <f t="shared" si="2"/>
        <v>How many letters are in the word \"mabango-bango\"?"</v>
      </c>
      <c r="E66" s="14" t="str">
        <f t="shared" si="3"/>
        <v>Ilang titik mayroon ang salitang \"mabango-bango\"?"</v>
      </c>
      <c r="F66" s="15">
        <v>10</v>
      </c>
      <c r="G66" s="18" t="s">
        <v>2397</v>
      </c>
      <c r="H66" s="14" t="s">
        <v>1763</v>
      </c>
      <c r="I66" s="14" t="str">
        <f t="shared" si="0"/>
        <v>mabaxobaxo</v>
      </c>
      <c r="J66" s="14" t="str">
        <f t="shared" si="1"/>
        <v>Unique</v>
      </c>
      <c r="L66" s="15"/>
    </row>
    <row r="67" spans="1:12" ht="15.75" customHeight="1" x14ac:dyDescent="0.15">
      <c r="A67" s="2" t="s">
        <v>512</v>
      </c>
      <c r="B67" s="14" t="s">
        <v>1694</v>
      </c>
      <c r="C67" s="14" t="s">
        <v>1748</v>
      </c>
      <c r="D67" s="14" t="str">
        <f t="shared" si="2"/>
        <v>How many letters are in the word \"binagoongan\"?"</v>
      </c>
      <c r="E67" s="14" t="str">
        <f t="shared" si="3"/>
        <v>Ilang titik mayroon ang salitang \"binagoongan\"?"</v>
      </c>
      <c r="F67" s="15">
        <v>10</v>
      </c>
      <c r="G67" s="18" t="s">
        <v>2398</v>
      </c>
      <c r="H67" s="14" t="s">
        <v>1764</v>
      </c>
      <c r="I67" s="14" t="str">
        <f t="shared" si="0"/>
        <v>binagooxan</v>
      </c>
      <c r="J67" s="14" t="str">
        <f t="shared" si="1"/>
        <v>Unique</v>
      </c>
      <c r="L67" s="15"/>
    </row>
    <row r="68" spans="1:12" ht="13" x14ac:dyDescent="0.15">
      <c r="A68" s="2" t="s">
        <v>512</v>
      </c>
      <c r="B68" s="14" t="s">
        <v>1694</v>
      </c>
      <c r="C68" s="14" t="s">
        <v>1748</v>
      </c>
      <c r="D68" s="14" t="str">
        <f t="shared" si="2"/>
        <v>How many letters are in the word \"pinagtangkaan\"?"</v>
      </c>
      <c r="E68" s="14" t="str">
        <f t="shared" si="3"/>
        <v>Ilang titik mayroon ang salitang \"pinagtangkaan\"?"</v>
      </c>
      <c r="F68" s="15">
        <v>12</v>
      </c>
      <c r="G68" s="18" t="s">
        <v>2399</v>
      </c>
      <c r="H68" s="14" t="s">
        <v>1765</v>
      </c>
      <c r="I68" s="14" t="str">
        <f t="shared" si="0"/>
        <v>pinagtaxkaan</v>
      </c>
      <c r="J68" s="14" t="str">
        <f t="shared" si="1"/>
        <v>Unique</v>
      </c>
      <c r="L68" s="15"/>
    </row>
    <row r="69" spans="1:12" ht="13" x14ac:dyDescent="0.15">
      <c r="A69" s="2" t="s">
        <v>512</v>
      </c>
      <c r="B69" s="14" t="s">
        <v>1694</v>
      </c>
      <c r="C69" s="14" t="s">
        <v>1748</v>
      </c>
      <c r="D69" s="14" t="str">
        <f t="shared" si="2"/>
        <v>How many letters are in the word \"mayayabang\"?"</v>
      </c>
      <c r="E69" s="14" t="str">
        <f t="shared" si="3"/>
        <v>Ilang titik mayroon ang salitang \"mayayabang\"?"</v>
      </c>
      <c r="F69" s="15">
        <v>9</v>
      </c>
      <c r="G69" s="18" t="s">
        <v>2400</v>
      </c>
      <c r="H69" s="14" t="s">
        <v>1766</v>
      </c>
      <c r="I69" s="14" t="str">
        <f t="shared" si="0"/>
        <v>mayayabax</v>
      </c>
      <c r="J69" s="14" t="str">
        <f t="shared" si="1"/>
        <v>Unique</v>
      </c>
      <c r="L69" s="15"/>
    </row>
    <row r="70" spans="1:12" ht="13" x14ac:dyDescent="0.15">
      <c r="A70" s="2" t="s">
        <v>512</v>
      </c>
      <c r="B70" s="14" t="s">
        <v>1694</v>
      </c>
      <c r="C70" s="14" t="s">
        <v>1748</v>
      </c>
      <c r="D70" s="14" t="str">
        <f t="shared" si="2"/>
        <v>How many letters are in the word \"pabangunin\"?"</v>
      </c>
      <c r="E70" s="14" t="str">
        <f t="shared" si="3"/>
        <v>Ilang titik mayroon ang salitang \"pabangunin\"?"</v>
      </c>
      <c r="F70" s="15">
        <v>9</v>
      </c>
      <c r="G70" s="18" t="s">
        <v>2401</v>
      </c>
      <c r="H70" s="14" t="s">
        <v>1767</v>
      </c>
      <c r="I70" s="14" t="str">
        <f t="shared" si="0"/>
        <v>pabaxunin</v>
      </c>
      <c r="J70" s="14" t="str">
        <f t="shared" si="1"/>
        <v>Unique</v>
      </c>
      <c r="L70" s="15"/>
    </row>
    <row r="71" spans="1:12" ht="13" x14ac:dyDescent="0.15">
      <c r="A71" s="2" t="s">
        <v>512</v>
      </c>
      <c r="B71" s="14" t="s">
        <v>1694</v>
      </c>
      <c r="C71" s="14" t="s">
        <v>1748</v>
      </c>
      <c r="D71" s="14" t="str">
        <f t="shared" si="2"/>
        <v>How many letters are in the word \"mararangal\"?"</v>
      </c>
      <c r="E71" s="14" t="str">
        <f t="shared" si="3"/>
        <v>Ilang titik mayroon ang salitang \"mararangal\"?"</v>
      </c>
      <c r="F71" s="15">
        <v>9</v>
      </c>
      <c r="G71" s="18" t="s">
        <v>2402</v>
      </c>
      <c r="H71" s="14" t="s">
        <v>1768</v>
      </c>
      <c r="I71" s="14" t="str">
        <f t="shared" si="0"/>
        <v>mararaxal</v>
      </c>
      <c r="J71" s="14" t="str">
        <f t="shared" si="1"/>
        <v>Unique</v>
      </c>
      <c r="L71" s="15"/>
    </row>
    <row r="72" spans="1:12" ht="13" x14ac:dyDescent="0.15">
      <c r="A72" s="2" t="s">
        <v>512</v>
      </c>
      <c r="B72" s="14" t="s">
        <v>1694</v>
      </c>
      <c r="C72" s="14" t="s">
        <v>1748</v>
      </c>
      <c r="D72" s="14" t="str">
        <f t="shared" si="2"/>
        <v>How many letters are in the word \"mapang-imbot\"?"</v>
      </c>
      <c r="E72" s="14" t="str">
        <f t="shared" si="3"/>
        <v>Ilang titik mayroon ang salitang \"mapang-imbot\"?"</v>
      </c>
      <c r="F72" s="15">
        <v>10</v>
      </c>
      <c r="G72" s="18" t="s">
        <v>2403</v>
      </c>
      <c r="H72" s="14" t="s">
        <v>1769</v>
      </c>
      <c r="I72" s="14" t="str">
        <f t="shared" si="0"/>
        <v>mapaximbot</v>
      </c>
      <c r="J72" s="14" t="str">
        <f t="shared" si="1"/>
        <v>Unique</v>
      </c>
      <c r="L72" s="15"/>
    </row>
    <row r="73" spans="1:12" ht="13" x14ac:dyDescent="0.15">
      <c r="A73" s="2" t="s">
        <v>512</v>
      </c>
      <c r="B73" s="14" t="s">
        <v>1694</v>
      </c>
      <c r="C73" s="14" t="s">
        <v>1748</v>
      </c>
      <c r="D73" s="14" t="str">
        <f t="shared" si="2"/>
        <v>How many letters are in the word \"magbarangan\"?"</v>
      </c>
      <c r="E73" s="14" t="str">
        <f t="shared" si="3"/>
        <v>Ilang titik mayroon ang salitang \"magbarangan\"?"</v>
      </c>
      <c r="F73" s="15">
        <v>10</v>
      </c>
      <c r="G73" s="18" t="s">
        <v>2404</v>
      </c>
      <c r="H73" s="14" t="s">
        <v>1770</v>
      </c>
      <c r="I73" s="14" t="str">
        <f t="shared" si="0"/>
        <v>magbaraxan</v>
      </c>
      <c r="J73" s="14" t="str">
        <f t="shared" si="1"/>
        <v>Unique</v>
      </c>
      <c r="L73" s="15"/>
    </row>
    <row r="74" spans="1:12" ht="15" x14ac:dyDescent="0.2">
      <c r="A74" s="2" t="s">
        <v>512</v>
      </c>
      <c r="B74" s="14" t="s">
        <v>1694</v>
      </c>
      <c r="C74" s="14" t="s">
        <v>1748</v>
      </c>
      <c r="D74" s="14" t="str">
        <f t="shared" si="2"/>
        <v>How many letters are in the word \"bingga\"?"</v>
      </c>
      <c r="E74" s="14" t="str">
        <f t="shared" si="3"/>
        <v>Ilang titik mayroon ang salitang \"bingga\"?"</v>
      </c>
      <c r="F74" s="2">
        <v>5</v>
      </c>
      <c r="G74" s="18" t="s">
        <v>2405</v>
      </c>
      <c r="H74" s="11" t="s">
        <v>1771</v>
      </c>
      <c r="I74" s="14" t="str">
        <f t="shared" si="0"/>
        <v>bixga</v>
      </c>
      <c r="J74" s="14" t="str">
        <f t="shared" si="1"/>
        <v>Unique</v>
      </c>
      <c r="L74" s="15"/>
    </row>
    <row r="75" spans="1:12" ht="15" x14ac:dyDescent="0.2">
      <c r="A75" s="2" t="s">
        <v>512</v>
      </c>
      <c r="B75" s="14" t="s">
        <v>1694</v>
      </c>
      <c r="C75" s="14" t="s">
        <v>1748</v>
      </c>
      <c r="D75" s="14" t="str">
        <f t="shared" si="2"/>
        <v>How many letters are in the word \"ungkay\"?"</v>
      </c>
      <c r="E75" s="14" t="str">
        <f t="shared" si="3"/>
        <v>Ilang titik mayroon ang salitang \"ungkay\"?"</v>
      </c>
      <c r="F75" s="2">
        <v>5</v>
      </c>
      <c r="G75" s="18" t="s">
        <v>2406</v>
      </c>
      <c r="H75" s="11" t="s">
        <v>1772</v>
      </c>
      <c r="I75" s="14" t="str">
        <f t="shared" si="0"/>
        <v>uxkay</v>
      </c>
      <c r="J75" s="14" t="str">
        <f t="shared" si="1"/>
        <v>Unique</v>
      </c>
      <c r="L75" s="15"/>
    </row>
    <row r="76" spans="1:12" ht="15" x14ac:dyDescent="0.2">
      <c r="A76" s="2" t="s">
        <v>512</v>
      </c>
      <c r="B76" s="14" t="s">
        <v>1694</v>
      </c>
      <c r="C76" s="14" t="s">
        <v>1748</v>
      </c>
      <c r="D76" s="14" t="str">
        <f t="shared" si="2"/>
        <v>How many letters are in the word \"tungo\"?"</v>
      </c>
      <c r="E76" s="14" t="str">
        <f t="shared" si="3"/>
        <v>Ilang titik mayroon ang salitang \"tungo\"?"</v>
      </c>
      <c r="F76" s="2">
        <v>4</v>
      </c>
      <c r="G76" s="18" t="s">
        <v>2407</v>
      </c>
      <c r="H76" s="11" t="s">
        <v>1773</v>
      </c>
      <c r="I76" s="14" t="str">
        <f t="shared" si="0"/>
        <v>tuxo</v>
      </c>
      <c r="J76" s="14" t="str">
        <f t="shared" si="1"/>
        <v>Unique</v>
      </c>
      <c r="L76" s="15"/>
    </row>
    <row r="77" spans="1:12" ht="15" x14ac:dyDescent="0.2">
      <c r="A77" s="2" t="s">
        <v>512</v>
      </c>
      <c r="B77" s="14" t="s">
        <v>1694</v>
      </c>
      <c r="C77" s="14" t="s">
        <v>1748</v>
      </c>
      <c r="D77" s="14" t="str">
        <f t="shared" si="2"/>
        <v>How many letters are in the word \"paling\"?"</v>
      </c>
      <c r="E77" s="14" t="str">
        <f t="shared" si="3"/>
        <v>Ilang titik mayroon ang salitang \"paling\"?"</v>
      </c>
      <c r="F77" s="2">
        <v>5</v>
      </c>
      <c r="G77" s="18" t="s">
        <v>2408</v>
      </c>
      <c r="H77" s="11" t="s">
        <v>1774</v>
      </c>
      <c r="I77" s="14" t="str">
        <f t="shared" si="0"/>
        <v>palix</v>
      </c>
      <c r="J77" s="14" t="str">
        <f t="shared" si="1"/>
        <v>Unique</v>
      </c>
      <c r="L77" s="15"/>
    </row>
    <row r="78" spans="1:12" ht="15" x14ac:dyDescent="0.2">
      <c r="A78" s="2" t="s">
        <v>512</v>
      </c>
      <c r="B78" s="14" t="s">
        <v>1694</v>
      </c>
      <c r="C78" s="14" t="s">
        <v>1748</v>
      </c>
      <c r="D78" s="14" t="str">
        <f t="shared" si="2"/>
        <v>How many letters are in the word \"bolang\"?"</v>
      </c>
      <c r="E78" s="14" t="str">
        <f t="shared" si="3"/>
        <v>Ilang titik mayroon ang salitang \"bolang\"?"</v>
      </c>
      <c r="F78" s="2">
        <v>5</v>
      </c>
      <c r="G78" s="18" t="s">
        <v>2409</v>
      </c>
      <c r="H78" s="11" t="s">
        <v>1775</v>
      </c>
      <c r="I78" s="14" t="str">
        <f t="shared" si="0"/>
        <v>bolax</v>
      </c>
      <c r="J78" s="14" t="str">
        <f t="shared" si="1"/>
        <v>Unique</v>
      </c>
      <c r="L78" s="15"/>
    </row>
    <row r="79" spans="1:12" ht="15" x14ac:dyDescent="0.2">
      <c r="A79" s="2" t="s">
        <v>512</v>
      </c>
      <c r="B79" s="14" t="s">
        <v>1694</v>
      </c>
      <c r="C79" s="14" t="s">
        <v>1748</v>
      </c>
      <c r="D79" s="14" t="str">
        <f t="shared" si="2"/>
        <v>How many letters are in the word \"bilang\"?"</v>
      </c>
      <c r="E79" s="14" t="str">
        <f t="shared" si="3"/>
        <v>Ilang titik mayroon ang salitang \"bilang\"?"</v>
      </c>
      <c r="F79" s="2">
        <v>5</v>
      </c>
      <c r="G79" s="18" t="s">
        <v>2410</v>
      </c>
      <c r="H79" s="11" t="s">
        <v>1776</v>
      </c>
      <c r="I79" s="14" t="str">
        <f t="shared" si="0"/>
        <v>bilax</v>
      </c>
      <c r="J79" s="14" t="str">
        <f t="shared" si="1"/>
        <v>Unique</v>
      </c>
      <c r="L79" s="15"/>
    </row>
    <row r="80" spans="1:12" ht="15" x14ac:dyDescent="0.2">
      <c r="A80" s="2" t="s">
        <v>512</v>
      </c>
      <c r="B80" s="14" t="s">
        <v>1694</v>
      </c>
      <c r="C80" s="14" t="s">
        <v>1748</v>
      </c>
      <c r="D80" s="14" t="str">
        <f t="shared" si="2"/>
        <v>How many letters are in the word \"naging\"?"</v>
      </c>
      <c r="E80" s="14" t="str">
        <f t="shared" si="3"/>
        <v>Ilang titik mayroon ang salitang \"naging\"?"</v>
      </c>
      <c r="F80" s="2">
        <v>5</v>
      </c>
      <c r="G80" s="18" t="s">
        <v>2411</v>
      </c>
      <c r="H80" s="11" t="s">
        <v>1777</v>
      </c>
      <c r="I80" s="14" t="str">
        <f t="shared" si="0"/>
        <v>nagix</v>
      </c>
      <c r="J80" s="14" t="str">
        <f t="shared" si="1"/>
        <v>Unique</v>
      </c>
      <c r="L80" s="15"/>
    </row>
    <row r="81" spans="1:12" ht="15" x14ac:dyDescent="0.2">
      <c r="A81" s="2" t="s">
        <v>512</v>
      </c>
      <c r="B81" s="14" t="s">
        <v>1694</v>
      </c>
      <c r="C81" s="14" t="s">
        <v>1748</v>
      </c>
      <c r="D81" s="14" t="str">
        <f t="shared" si="2"/>
        <v>How many letters are in the word \"tabing\"?"</v>
      </c>
      <c r="E81" s="14" t="str">
        <f t="shared" si="3"/>
        <v>Ilang titik mayroon ang salitang \"tabing\"?"</v>
      </c>
      <c r="F81" s="2">
        <v>5</v>
      </c>
      <c r="G81" s="18" t="s">
        <v>2412</v>
      </c>
      <c r="H81" s="11" t="s">
        <v>1778</v>
      </c>
      <c r="I81" s="14" t="str">
        <f t="shared" si="0"/>
        <v>tabix</v>
      </c>
      <c r="J81" s="14" t="str">
        <f t="shared" si="1"/>
        <v>Unique</v>
      </c>
      <c r="L81" s="15"/>
    </row>
    <row r="82" spans="1:12" ht="15" x14ac:dyDescent="0.2">
      <c r="A82" s="2" t="s">
        <v>512</v>
      </c>
      <c r="B82" s="14" t="s">
        <v>1694</v>
      </c>
      <c r="C82" s="14" t="s">
        <v>1748</v>
      </c>
      <c r="D82" s="14" t="str">
        <f t="shared" si="2"/>
        <v>How many letters are in the word \"kalinga\"?"</v>
      </c>
      <c r="E82" s="14" t="str">
        <f t="shared" si="3"/>
        <v>Ilang titik mayroon ang salitang \"kalinga\"?"</v>
      </c>
      <c r="F82" s="2">
        <v>6</v>
      </c>
      <c r="G82" s="18" t="s">
        <v>2413</v>
      </c>
      <c r="H82" s="11" t="s">
        <v>1779</v>
      </c>
      <c r="I82" s="14" t="str">
        <f t="shared" si="0"/>
        <v>kalixa</v>
      </c>
      <c r="J82" s="14" t="str">
        <f t="shared" si="1"/>
        <v>Unique</v>
      </c>
      <c r="L82" s="15"/>
    </row>
    <row r="83" spans="1:12" ht="15" x14ac:dyDescent="0.2">
      <c r="A83" s="2" t="s">
        <v>512</v>
      </c>
      <c r="B83" s="14" t="s">
        <v>1694</v>
      </c>
      <c r="C83" s="14" t="s">
        <v>1748</v>
      </c>
      <c r="D83" s="14" t="str">
        <f t="shared" si="2"/>
        <v>How many letters are in the word \"balang\"?"</v>
      </c>
      <c r="E83" s="14" t="str">
        <f t="shared" si="3"/>
        <v>Ilang titik mayroon ang salitang \"balang\"?"</v>
      </c>
      <c r="F83" s="2">
        <v>5</v>
      </c>
      <c r="G83" s="18" t="s">
        <v>2414</v>
      </c>
      <c r="H83" s="11" t="s">
        <v>1780</v>
      </c>
      <c r="I83" s="14" t="str">
        <f t="shared" si="0"/>
        <v>balax</v>
      </c>
      <c r="J83" s="14" t="str">
        <f t="shared" si="1"/>
        <v>Unique</v>
      </c>
      <c r="L83" s="15"/>
    </row>
    <row r="84" spans="1:12" ht="15" x14ac:dyDescent="0.2">
      <c r="A84" s="2" t="s">
        <v>512</v>
      </c>
      <c r="B84" s="14" t="s">
        <v>1694</v>
      </c>
      <c r="C84" s="14" t="s">
        <v>1748</v>
      </c>
      <c r="D84" s="14" t="str">
        <f t="shared" si="2"/>
        <v>How many letters are in the word \"hibang\"?"</v>
      </c>
      <c r="E84" s="14" t="str">
        <f t="shared" si="3"/>
        <v>Ilang titik mayroon ang salitang \"hibang\"?"</v>
      </c>
      <c r="F84" s="2">
        <v>5</v>
      </c>
      <c r="G84" s="18" t="s">
        <v>2415</v>
      </c>
      <c r="H84" s="11" t="s">
        <v>1781</v>
      </c>
      <c r="I84" s="14" t="str">
        <f t="shared" si="0"/>
        <v>hibax</v>
      </c>
      <c r="J84" s="14" t="str">
        <f t="shared" si="1"/>
        <v>Unique</v>
      </c>
      <c r="L84" s="15"/>
    </row>
    <row r="85" spans="1:12" ht="15" x14ac:dyDescent="0.2">
      <c r="A85" s="2" t="s">
        <v>512</v>
      </c>
      <c r="B85" s="14" t="s">
        <v>1694</v>
      </c>
      <c r="C85" s="14" t="s">
        <v>1748</v>
      </c>
      <c r="D85" s="14" t="str">
        <f t="shared" si="2"/>
        <v>How many letters are in the word \"dating\"?"</v>
      </c>
      <c r="E85" s="14" t="str">
        <f t="shared" si="3"/>
        <v>Ilang titik mayroon ang salitang \"dating\"?"</v>
      </c>
      <c r="F85" s="2">
        <v>5</v>
      </c>
      <c r="G85" s="18" t="s">
        <v>2416</v>
      </c>
      <c r="H85" s="11" t="s">
        <v>1782</v>
      </c>
      <c r="I85" s="14" t="str">
        <f t="shared" si="0"/>
        <v>datix</v>
      </c>
      <c r="J85" s="14" t="str">
        <f t="shared" si="1"/>
        <v>Unique</v>
      </c>
      <c r="L85" s="15"/>
    </row>
    <row r="86" spans="1:12" ht="15" x14ac:dyDescent="0.2">
      <c r="A86" s="2" t="s">
        <v>512</v>
      </c>
      <c r="B86" s="14" t="s">
        <v>1694</v>
      </c>
      <c r="C86" s="14" t="s">
        <v>1748</v>
      </c>
      <c r="D86" s="14" t="str">
        <f t="shared" si="2"/>
        <v>How many letters are in the word \"pangutana\"?"</v>
      </c>
      <c r="E86" s="14" t="str">
        <f t="shared" si="3"/>
        <v>Ilang titik mayroon ang salitang \"pangutana\"?"</v>
      </c>
      <c r="F86" s="2">
        <v>8</v>
      </c>
      <c r="G86" s="18" t="s">
        <v>2417</v>
      </c>
      <c r="H86" s="11" t="s">
        <v>1783</v>
      </c>
      <c r="I86" s="14" t="str">
        <f t="shared" si="0"/>
        <v>paxutana</v>
      </c>
      <c r="J86" s="14" t="str">
        <f t="shared" si="1"/>
        <v>Unique</v>
      </c>
      <c r="L86" s="15"/>
    </row>
    <row r="87" spans="1:12" ht="15" x14ac:dyDescent="0.2">
      <c r="A87" s="2" t="s">
        <v>512</v>
      </c>
      <c r="B87" s="14" t="s">
        <v>1694</v>
      </c>
      <c r="C87" s="14" t="s">
        <v>1748</v>
      </c>
      <c r="D87" s="14" t="str">
        <f t="shared" si="2"/>
        <v>How many letters are in the word \"ilang\"?"</v>
      </c>
      <c r="E87" s="14" t="str">
        <f t="shared" si="3"/>
        <v>Ilang titik mayroon ang salitang \"ilang\"?"</v>
      </c>
      <c r="F87" s="2">
        <v>4</v>
      </c>
      <c r="G87" s="18" t="s">
        <v>2418</v>
      </c>
      <c r="H87" s="11" t="s">
        <v>1784</v>
      </c>
      <c r="I87" s="14" t="str">
        <f t="shared" si="0"/>
        <v>ilax</v>
      </c>
      <c r="J87" s="14" t="str">
        <f t="shared" si="1"/>
        <v>Unique</v>
      </c>
      <c r="L87" s="15"/>
    </row>
    <row r="88" spans="1:12" ht="15" x14ac:dyDescent="0.2">
      <c r="A88" s="2" t="s">
        <v>512</v>
      </c>
      <c r="B88" s="14" t="s">
        <v>1694</v>
      </c>
      <c r="C88" s="14" t="s">
        <v>1748</v>
      </c>
      <c r="D88" s="14" t="str">
        <f t="shared" si="2"/>
        <v>How many letters are in the word \"lamang\"?"</v>
      </c>
      <c r="E88" s="14" t="str">
        <f t="shared" si="3"/>
        <v>Ilang titik mayroon ang salitang \"lamang\"?"</v>
      </c>
      <c r="F88" s="2">
        <v>5</v>
      </c>
      <c r="G88" s="18" t="s">
        <v>2419</v>
      </c>
      <c r="H88" s="11" t="s">
        <v>97</v>
      </c>
      <c r="I88" s="14" t="str">
        <f t="shared" si="0"/>
        <v>lamax</v>
      </c>
      <c r="J88" s="14" t="str">
        <f t="shared" si="1"/>
        <v>Unique</v>
      </c>
      <c r="L88" s="15"/>
    </row>
    <row r="89" spans="1:12" ht="15" x14ac:dyDescent="0.2">
      <c r="A89" s="2" t="s">
        <v>512</v>
      </c>
      <c r="B89" s="14" t="s">
        <v>1694</v>
      </c>
      <c r="C89" s="14" t="s">
        <v>1748</v>
      </c>
      <c r="D89" s="14" t="str">
        <f t="shared" si="2"/>
        <v>How many letters are in the word \"anibong\"?"</v>
      </c>
      <c r="E89" s="14" t="str">
        <f t="shared" si="3"/>
        <v>Ilang titik mayroon ang salitang \"anibong\"?"</v>
      </c>
      <c r="F89" s="2">
        <v>6</v>
      </c>
      <c r="G89" s="18" t="s">
        <v>2420</v>
      </c>
      <c r="H89" s="11" t="s">
        <v>1785</v>
      </c>
      <c r="I89" s="14" t="str">
        <f t="shared" si="0"/>
        <v>anibox</v>
      </c>
      <c r="J89" s="14" t="str">
        <f t="shared" si="1"/>
        <v>Unique</v>
      </c>
      <c r="L89" s="15"/>
    </row>
    <row r="90" spans="1:12" ht="15" x14ac:dyDescent="0.2">
      <c r="A90" s="2" t="s">
        <v>512</v>
      </c>
      <c r="B90" s="14" t="s">
        <v>1694</v>
      </c>
      <c r="C90" s="14" t="s">
        <v>1748</v>
      </c>
      <c r="D90" s="14" t="str">
        <f t="shared" si="2"/>
        <v>How many letters are in the word \"manyayango\"?"</v>
      </c>
      <c r="E90" s="14" t="str">
        <f t="shared" si="3"/>
        <v>Ilang titik mayroon ang salitang \"manyayango\"?"</v>
      </c>
      <c r="F90" s="2">
        <v>9</v>
      </c>
      <c r="G90" s="18" t="s">
        <v>2421</v>
      </c>
      <c r="H90" s="11" t="s">
        <v>1786</v>
      </c>
      <c r="I90" s="14" t="str">
        <f t="shared" si="0"/>
        <v>manyayaxo</v>
      </c>
      <c r="J90" s="14" t="str">
        <f t="shared" si="1"/>
        <v>Unique</v>
      </c>
      <c r="L90" s="15"/>
    </row>
    <row r="91" spans="1:12" ht="15" x14ac:dyDescent="0.2">
      <c r="A91" s="2" t="s">
        <v>512</v>
      </c>
      <c r="B91" s="14" t="s">
        <v>1694</v>
      </c>
      <c r="C91" s="14" t="s">
        <v>1748</v>
      </c>
      <c r="D91" s="14" t="str">
        <f t="shared" si="2"/>
        <v>How many letters are in the word \"kasangkapan\"?"</v>
      </c>
      <c r="E91" s="14" t="str">
        <f t="shared" si="3"/>
        <v>Ilang titik mayroon ang salitang \"kasangkapan\"?"</v>
      </c>
      <c r="F91" s="2">
        <v>10</v>
      </c>
      <c r="G91" s="18" t="s">
        <v>2422</v>
      </c>
      <c r="H91" s="11" t="s">
        <v>1787</v>
      </c>
      <c r="I91" s="14" t="str">
        <f t="shared" si="0"/>
        <v>kasaxkapan</v>
      </c>
      <c r="J91" s="14" t="str">
        <f t="shared" si="1"/>
        <v>Unique</v>
      </c>
      <c r="L91" s="15"/>
    </row>
    <row r="92" spans="1:12" ht="15" x14ac:dyDescent="0.2">
      <c r="A92" s="2" t="s">
        <v>512</v>
      </c>
      <c r="B92" s="14" t="s">
        <v>1694</v>
      </c>
      <c r="C92" s="14" t="s">
        <v>1748</v>
      </c>
      <c r="D92" s="14" t="str">
        <f t="shared" si="2"/>
        <v>How many letters are in the word \"hangin\"?"</v>
      </c>
      <c r="E92" s="14" t="str">
        <f t="shared" si="3"/>
        <v>Ilang titik mayroon ang salitang \"hangin\"?"</v>
      </c>
      <c r="F92" s="2">
        <v>5</v>
      </c>
      <c r="G92" s="18" t="s">
        <v>2423</v>
      </c>
      <c r="H92" s="11" t="s">
        <v>1788</v>
      </c>
      <c r="I92" s="14" t="str">
        <f t="shared" si="0"/>
        <v>haxin</v>
      </c>
      <c r="J92" s="14" t="str">
        <f t="shared" si="1"/>
        <v>Unique</v>
      </c>
      <c r="L92" s="15"/>
    </row>
    <row r="93" spans="1:12" ht="15" x14ac:dyDescent="0.2">
      <c r="A93" s="2" t="s">
        <v>512</v>
      </c>
      <c r="B93" s="14" t="s">
        <v>1694</v>
      </c>
      <c r="C93" s="14" t="s">
        <v>1748</v>
      </c>
      <c r="D93" s="14" t="str">
        <f t="shared" si="2"/>
        <v>How many letters are in the word \"turong\"?"</v>
      </c>
      <c r="E93" s="14" t="str">
        <f t="shared" si="3"/>
        <v>Ilang titik mayroon ang salitang \"turong\"?"</v>
      </c>
      <c r="F93" s="2">
        <v>5</v>
      </c>
      <c r="G93" s="18" t="s">
        <v>2424</v>
      </c>
      <c r="H93" s="11" t="s">
        <v>1789</v>
      </c>
      <c r="I93" s="14" t="str">
        <f t="shared" si="0"/>
        <v>turox</v>
      </c>
      <c r="J93" s="14" t="str">
        <f t="shared" si="1"/>
        <v>Unique</v>
      </c>
      <c r="L93" s="15"/>
    </row>
    <row r="94" spans="1:12" ht="15" x14ac:dyDescent="0.2">
      <c r="A94" s="2" t="s">
        <v>512</v>
      </c>
      <c r="B94" s="14" t="s">
        <v>1694</v>
      </c>
      <c r="C94" s="14" t="s">
        <v>1748</v>
      </c>
      <c r="D94" s="14" t="str">
        <f t="shared" si="2"/>
        <v>How many letters are in the word \"silangan\"?"</v>
      </c>
      <c r="E94" s="14" t="str">
        <f t="shared" si="3"/>
        <v>Ilang titik mayroon ang salitang \"silangan\"?"</v>
      </c>
      <c r="F94" s="2">
        <v>7</v>
      </c>
      <c r="G94" s="18" t="s">
        <v>2425</v>
      </c>
      <c r="H94" s="11" t="s">
        <v>1790</v>
      </c>
      <c r="I94" s="14" t="str">
        <f t="shared" si="0"/>
        <v>silaxan</v>
      </c>
      <c r="J94" s="14" t="str">
        <f t="shared" si="1"/>
        <v>Unique</v>
      </c>
      <c r="L94" s="15"/>
    </row>
    <row r="95" spans="1:12" ht="15" x14ac:dyDescent="0.2">
      <c r="A95" s="2" t="s">
        <v>512</v>
      </c>
      <c r="B95" s="14" t="s">
        <v>1694</v>
      </c>
      <c r="C95" s="14" t="s">
        <v>1748</v>
      </c>
      <c r="D95" s="14" t="str">
        <f t="shared" si="2"/>
        <v>How many letters are in the word \"pangulo\"?"</v>
      </c>
      <c r="E95" s="14" t="str">
        <f t="shared" si="3"/>
        <v>Ilang titik mayroon ang salitang \"pangulo\"?"</v>
      </c>
      <c r="F95" s="2">
        <v>6</v>
      </c>
      <c r="G95" s="18" t="s">
        <v>2426</v>
      </c>
      <c r="H95" s="11" t="s">
        <v>1791</v>
      </c>
      <c r="I95" s="14" t="str">
        <f t="shared" si="0"/>
        <v>paxulo</v>
      </c>
      <c r="J95" s="14" t="str">
        <f t="shared" si="1"/>
        <v>Unique</v>
      </c>
      <c r="L95" s="15"/>
    </row>
    <row r="96" spans="1:12" ht="15" x14ac:dyDescent="0.2">
      <c r="A96" s="2" t="s">
        <v>512</v>
      </c>
      <c r="B96" s="14" t="s">
        <v>1694</v>
      </c>
      <c r="C96" s="14" t="s">
        <v>1748</v>
      </c>
      <c r="D96" s="14" t="str">
        <f t="shared" si="2"/>
        <v>How many letters are in the word \"parang\"?"</v>
      </c>
      <c r="E96" s="14" t="str">
        <f t="shared" si="3"/>
        <v>Ilang titik mayroon ang salitang \"parang\"?"</v>
      </c>
      <c r="F96" s="2">
        <v>5</v>
      </c>
      <c r="G96" s="18" t="s">
        <v>2427</v>
      </c>
      <c r="H96" s="11" t="s">
        <v>1792</v>
      </c>
      <c r="I96" s="14" t="str">
        <f t="shared" si="0"/>
        <v>parax</v>
      </c>
      <c r="J96" s="14" t="str">
        <f t="shared" si="1"/>
        <v>Unique</v>
      </c>
      <c r="L96" s="15"/>
    </row>
    <row r="97" spans="1:12" ht="15" x14ac:dyDescent="0.2">
      <c r="A97" s="2" t="s">
        <v>512</v>
      </c>
      <c r="B97" s="14" t="s">
        <v>1694</v>
      </c>
      <c r="C97" s="14" t="s">
        <v>1748</v>
      </c>
      <c r="D97" s="14" t="str">
        <f t="shared" si="2"/>
        <v>How many letters are in the word \"gong-ay\"?"</v>
      </c>
      <c r="E97" s="14" t="str">
        <f t="shared" si="3"/>
        <v>Ilang titik mayroon ang salitang \"gong-ay\"?"</v>
      </c>
      <c r="F97" s="2">
        <v>5</v>
      </c>
      <c r="G97" s="18" t="s">
        <v>2428</v>
      </c>
      <c r="H97" s="11" t="s">
        <v>1793</v>
      </c>
      <c r="I97" s="14" t="str">
        <f t="shared" si="0"/>
        <v>goxay</v>
      </c>
      <c r="J97" s="14" t="str">
        <f t="shared" si="1"/>
        <v>Unique</v>
      </c>
      <c r="L97" s="15"/>
    </row>
    <row r="98" spans="1:12" ht="15" x14ac:dyDescent="0.2">
      <c r="A98" s="2" t="s">
        <v>512</v>
      </c>
      <c r="B98" s="14" t="s">
        <v>1694</v>
      </c>
      <c r="C98" s="14" t="s">
        <v>1748</v>
      </c>
      <c r="D98" s="14" t="str">
        <f t="shared" si="2"/>
        <v>How many letters are in the word \"mangyari\"?"</v>
      </c>
      <c r="E98" s="14" t="str">
        <f t="shared" si="3"/>
        <v>Ilang titik mayroon ang salitang \"mangyari\"?"</v>
      </c>
      <c r="F98" s="2">
        <v>7</v>
      </c>
      <c r="G98" s="18" t="s">
        <v>2429</v>
      </c>
      <c r="H98" s="11" t="s">
        <v>1794</v>
      </c>
      <c r="I98" s="14" t="str">
        <f t="shared" si="0"/>
        <v>maxyari</v>
      </c>
      <c r="J98" s="14" t="str">
        <f t="shared" si="1"/>
        <v>Unique</v>
      </c>
      <c r="L98" s="15"/>
    </row>
    <row r="99" spans="1:12" ht="15" x14ac:dyDescent="0.2">
      <c r="A99" s="2" t="s">
        <v>512</v>
      </c>
      <c r="B99" s="14" t="s">
        <v>1694</v>
      </c>
      <c r="C99" s="14" t="s">
        <v>1748</v>
      </c>
      <c r="D99" s="14" t="str">
        <f t="shared" si="2"/>
        <v>How many letters are in the word \"habang\"?"</v>
      </c>
      <c r="E99" s="14" t="str">
        <f t="shared" si="3"/>
        <v>Ilang titik mayroon ang salitang \"habang\"?"</v>
      </c>
      <c r="F99" s="2">
        <v>5</v>
      </c>
      <c r="G99" s="18" t="s">
        <v>2430</v>
      </c>
      <c r="H99" s="11" t="s">
        <v>1795</v>
      </c>
      <c r="I99" s="14" t="str">
        <f t="shared" si="0"/>
        <v>habax</v>
      </c>
      <c r="J99" s="14" t="str">
        <f t="shared" si="1"/>
        <v>Unique</v>
      </c>
      <c r="L99" s="15"/>
    </row>
    <row r="100" spans="1:12" ht="15" x14ac:dyDescent="0.2">
      <c r="A100" s="2" t="s">
        <v>512</v>
      </c>
      <c r="B100" s="14" t="s">
        <v>1694</v>
      </c>
      <c r="C100" s="14" t="s">
        <v>1748</v>
      </c>
      <c r="D100" s="14" t="str">
        <f t="shared" si="2"/>
        <v>How many letters are in the word \"tandang\"?"</v>
      </c>
      <c r="E100" s="14" t="str">
        <f t="shared" si="3"/>
        <v>Ilang titik mayroon ang salitang \"tandang\"?"</v>
      </c>
      <c r="F100" s="2">
        <v>6</v>
      </c>
      <c r="G100" s="18" t="s">
        <v>2431</v>
      </c>
      <c r="H100" s="11" t="s">
        <v>1796</v>
      </c>
      <c r="I100" s="14" t="str">
        <f t="shared" si="0"/>
        <v>tandax</v>
      </c>
      <c r="J100" s="14" t="str">
        <f t="shared" si="1"/>
        <v>Unique</v>
      </c>
      <c r="L100" s="15"/>
    </row>
    <row r="101" spans="1:12" ht="15" x14ac:dyDescent="0.2">
      <c r="A101" s="2" t="s">
        <v>512</v>
      </c>
      <c r="B101" s="14" t="s">
        <v>1694</v>
      </c>
      <c r="C101" s="14" t="s">
        <v>1748</v>
      </c>
      <c r="D101" s="14" t="str">
        <f t="shared" si="2"/>
        <v>How many letters are in the word \"ungol\"?"</v>
      </c>
      <c r="E101" s="14" t="str">
        <f t="shared" si="3"/>
        <v>Ilang titik mayroon ang salitang \"ungol\"?"</v>
      </c>
      <c r="F101" s="2">
        <v>4</v>
      </c>
      <c r="G101" s="18" t="s">
        <v>2432</v>
      </c>
      <c r="H101" s="11" t="s">
        <v>1797</v>
      </c>
      <c r="I101" s="14" t="str">
        <f t="shared" si="0"/>
        <v>uxol</v>
      </c>
      <c r="J101" s="14" t="str">
        <f t="shared" si="1"/>
        <v>Unique</v>
      </c>
      <c r="L101" s="15"/>
    </row>
    <row r="102" spans="1:12" ht="13" x14ac:dyDescent="0.15">
      <c r="B102" s="14"/>
      <c r="C102" s="14"/>
      <c r="D102" s="14"/>
      <c r="E102" s="14"/>
      <c r="L102" s="15"/>
    </row>
    <row r="103" spans="1:12" ht="13" x14ac:dyDescent="0.15">
      <c r="L103" s="15"/>
    </row>
    <row r="104" spans="1:12" ht="13" x14ac:dyDescent="0.15">
      <c r="L104" s="15"/>
    </row>
    <row r="105" spans="1:12" ht="13" x14ac:dyDescent="0.15">
      <c r="L105" s="15"/>
    </row>
    <row r="106" spans="1:12" ht="13" x14ac:dyDescent="0.15">
      <c r="B106" s="14"/>
      <c r="C106" s="14"/>
      <c r="D106" s="14"/>
      <c r="E106" s="14"/>
      <c r="F106" s="14"/>
      <c r="G106" s="14"/>
      <c r="H106" s="14"/>
      <c r="I106" s="14"/>
      <c r="J106" s="14"/>
      <c r="L106" s="15"/>
    </row>
    <row r="107" spans="1:12" ht="13" x14ac:dyDescent="0.15">
      <c r="B107" s="14"/>
      <c r="C107" s="14"/>
      <c r="D107" s="14"/>
      <c r="E107" s="14"/>
      <c r="F107" s="14"/>
      <c r="G107" s="14"/>
      <c r="H107" s="14"/>
      <c r="I107" s="14"/>
      <c r="J107" s="14"/>
      <c r="L107" s="15"/>
    </row>
    <row r="108" spans="1:12" ht="13" x14ac:dyDescent="0.15">
      <c r="B108" s="14"/>
      <c r="C108" s="14"/>
      <c r="D108" s="14"/>
      <c r="E108" s="14"/>
      <c r="F108" s="14"/>
      <c r="G108" s="14"/>
      <c r="H108" s="14"/>
      <c r="I108" s="14"/>
      <c r="J108" s="14"/>
      <c r="L108" s="15"/>
    </row>
    <row r="109" spans="1:12" ht="13" x14ac:dyDescent="0.15">
      <c r="B109" s="14"/>
      <c r="C109" s="14"/>
      <c r="D109" s="14"/>
      <c r="E109" s="14"/>
      <c r="F109" s="14"/>
      <c r="G109" s="14"/>
      <c r="H109" s="14"/>
      <c r="I109" s="14"/>
      <c r="J109" s="14"/>
      <c r="L109" s="15"/>
    </row>
    <row r="110" spans="1:12" ht="13" x14ac:dyDescent="0.15">
      <c r="B110" s="14"/>
      <c r="C110" s="14"/>
      <c r="D110" s="14"/>
      <c r="E110" s="14"/>
      <c r="F110" s="14"/>
      <c r="G110" s="14"/>
      <c r="H110" s="14"/>
      <c r="I110" s="14"/>
      <c r="J110" s="14"/>
      <c r="L110" s="15"/>
    </row>
    <row r="111" spans="1:12" ht="13" x14ac:dyDescent="0.15">
      <c r="B111" s="14"/>
      <c r="C111" s="14"/>
      <c r="D111" s="14"/>
      <c r="E111" s="14"/>
      <c r="F111" s="14"/>
      <c r="G111" s="14"/>
      <c r="H111" s="14"/>
      <c r="I111" s="14"/>
      <c r="J111" s="14"/>
      <c r="L111" s="15"/>
    </row>
    <row r="112" spans="1:12" ht="13" x14ac:dyDescent="0.15">
      <c r="B112" s="14"/>
      <c r="C112" s="14"/>
      <c r="D112" s="14"/>
      <c r="E112" s="14"/>
      <c r="F112" s="14"/>
      <c r="G112" s="14"/>
      <c r="H112" s="14"/>
      <c r="I112" s="14"/>
      <c r="J112" s="14"/>
      <c r="L112" s="15"/>
    </row>
    <row r="113" spans="2:12" ht="13" x14ac:dyDescent="0.15">
      <c r="B113" s="14"/>
      <c r="C113" s="14"/>
      <c r="D113" s="14"/>
      <c r="E113" s="14"/>
      <c r="F113" s="14"/>
      <c r="G113" s="14"/>
      <c r="H113" s="14"/>
      <c r="I113" s="14"/>
      <c r="J113" s="14"/>
      <c r="L113" s="15"/>
    </row>
    <row r="114" spans="2:12" ht="13" x14ac:dyDescent="0.15">
      <c r="B114" s="14"/>
      <c r="C114" s="14"/>
      <c r="D114" s="14"/>
      <c r="E114" s="14"/>
      <c r="F114" s="14"/>
      <c r="G114" s="14"/>
      <c r="H114" s="14"/>
      <c r="I114" s="14"/>
      <c r="J114" s="14"/>
      <c r="L114" s="15"/>
    </row>
    <row r="115" spans="2:12" ht="13" x14ac:dyDescent="0.15">
      <c r="B115" s="14"/>
      <c r="C115" s="14"/>
      <c r="D115" s="14"/>
      <c r="E115" s="14"/>
      <c r="F115" s="14"/>
      <c r="G115" s="14"/>
      <c r="H115" s="14"/>
      <c r="I115" s="14"/>
      <c r="J115" s="14"/>
      <c r="L115" s="15"/>
    </row>
    <row r="116" spans="2:12" ht="13" x14ac:dyDescent="0.15">
      <c r="B116" s="14"/>
      <c r="C116" s="14"/>
      <c r="D116" s="14"/>
      <c r="E116" s="14"/>
      <c r="F116" s="14"/>
      <c r="G116" s="14"/>
      <c r="H116" s="14"/>
      <c r="I116" s="14"/>
      <c r="J116" s="14"/>
      <c r="L116" s="15"/>
    </row>
    <row r="117" spans="2:12" ht="13" x14ac:dyDescent="0.15">
      <c r="B117" s="14"/>
      <c r="C117" s="14"/>
      <c r="D117" s="14"/>
      <c r="E117" s="14"/>
      <c r="F117" s="14"/>
      <c r="G117" s="14"/>
      <c r="H117" s="14"/>
      <c r="I117" s="14"/>
      <c r="J117" s="14"/>
      <c r="L117" s="15"/>
    </row>
    <row r="118" spans="2:12" ht="13" x14ac:dyDescent="0.15">
      <c r="B118" s="14"/>
      <c r="C118" s="14"/>
      <c r="D118" s="14"/>
      <c r="E118" s="14"/>
      <c r="F118" s="14"/>
      <c r="G118" s="14"/>
      <c r="H118" s="14"/>
      <c r="I118" s="14"/>
      <c r="J118" s="14"/>
      <c r="L118" s="15"/>
    </row>
    <row r="119" spans="2:12" ht="13" x14ac:dyDescent="0.15">
      <c r="B119" s="14"/>
      <c r="C119" s="14"/>
      <c r="D119" s="14"/>
      <c r="E119" s="14"/>
      <c r="F119" s="14"/>
      <c r="G119" s="14"/>
      <c r="H119" s="14"/>
      <c r="I119" s="14"/>
      <c r="J119" s="14"/>
      <c r="L119" s="15"/>
    </row>
    <row r="120" spans="2:12" ht="13" x14ac:dyDescent="0.15">
      <c r="B120" s="14"/>
      <c r="C120" s="14"/>
      <c r="D120" s="14"/>
      <c r="E120" s="14"/>
      <c r="F120" s="14"/>
      <c r="G120" s="14"/>
      <c r="H120" s="14"/>
      <c r="I120" s="14"/>
      <c r="J120" s="14"/>
      <c r="L120" s="15"/>
    </row>
    <row r="121" spans="2:12" ht="13" x14ac:dyDescent="0.15">
      <c r="B121" s="14"/>
      <c r="C121" s="14"/>
      <c r="D121" s="14"/>
      <c r="E121" s="14"/>
      <c r="F121" s="14"/>
      <c r="G121" s="14"/>
      <c r="H121" s="14"/>
      <c r="I121" s="14"/>
      <c r="J121" s="14"/>
      <c r="L121" s="15"/>
    </row>
    <row r="122" spans="2:12" ht="13" x14ac:dyDescent="0.15">
      <c r="B122" s="14"/>
      <c r="C122" s="14"/>
      <c r="D122" s="14"/>
      <c r="E122" s="14"/>
      <c r="F122" s="14"/>
      <c r="G122" s="14"/>
      <c r="H122" s="14"/>
      <c r="I122" s="14"/>
      <c r="J122" s="14"/>
      <c r="L122" s="15"/>
    </row>
    <row r="123" spans="2:12" ht="13" x14ac:dyDescent="0.15">
      <c r="B123" s="14"/>
      <c r="C123" s="14"/>
      <c r="D123" s="14"/>
      <c r="E123" s="14"/>
      <c r="F123" s="14"/>
      <c r="G123" s="14"/>
      <c r="H123" s="14"/>
      <c r="I123" s="14"/>
      <c r="J123" s="14"/>
      <c r="L123" s="15"/>
    </row>
    <row r="124" spans="2:12" ht="13" x14ac:dyDescent="0.15">
      <c r="B124" s="14"/>
      <c r="C124" s="14"/>
      <c r="D124" s="14"/>
      <c r="E124" s="14"/>
      <c r="F124" s="14"/>
      <c r="G124" s="14"/>
      <c r="H124" s="14"/>
      <c r="I124" s="14"/>
      <c r="J124" s="14"/>
      <c r="L124" s="15"/>
    </row>
    <row r="125" spans="2:12" ht="13" x14ac:dyDescent="0.15">
      <c r="B125" s="14"/>
      <c r="C125" s="14"/>
      <c r="D125" s="14"/>
      <c r="E125" s="14"/>
      <c r="F125" s="14"/>
      <c r="G125" s="14"/>
      <c r="H125" s="14"/>
      <c r="I125" s="14"/>
      <c r="J125" s="14"/>
      <c r="L125" s="15"/>
    </row>
    <row r="126" spans="2:12" ht="13" x14ac:dyDescent="0.15">
      <c r="B126" s="14"/>
      <c r="C126" s="14"/>
      <c r="D126" s="14"/>
      <c r="E126" s="14"/>
      <c r="F126" s="14"/>
      <c r="G126" s="14"/>
      <c r="H126" s="14"/>
      <c r="I126" s="14"/>
      <c r="J126" s="14"/>
      <c r="L126" s="15"/>
    </row>
    <row r="127" spans="2:12" ht="13" x14ac:dyDescent="0.15">
      <c r="B127" s="14"/>
      <c r="C127" s="14"/>
      <c r="D127" s="14"/>
      <c r="E127" s="14"/>
      <c r="F127" s="14"/>
      <c r="G127" s="14"/>
      <c r="H127" s="14"/>
      <c r="I127" s="14"/>
      <c r="J127" s="14"/>
      <c r="L127" s="15"/>
    </row>
    <row r="128" spans="2:12" ht="13" x14ac:dyDescent="0.15">
      <c r="B128" s="14"/>
      <c r="C128" s="14"/>
      <c r="D128" s="14"/>
      <c r="E128" s="14"/>
      <c r="F128" s="14"/>
      <c r="G128" s="14"/>
      <c r="H128" s="14"/>
      <c r="I128" s="14"/>
      <c r="J128" s="14"/>
      <c r="L128" s="15"/>
    </row>
    <row r="129" spans="2:12" ht="13" x14ac:dyDescent="0.15">
      <c r="B129" s="14"/>
      <c r="C129" s="14"/>
      <c r="D129" s="14"/>
      <c r="E129" s="14"/>
      <c r="F129" s="14"/>
      <c r="G129" s="14"/>
      <c r="H129" s="14"/>
      <c r="I129" s="14"/>
      <c r="J129" s="14"/>
      <c r="L129" s="15"/>
    </row>
    <row r="130" spans="2:12" ht="13" x14ac:dyDescent="0.15">
      <c r="B130" s="14"/>
      <c r="C130" s="14"/>
      <c r="D130" s="14"/>
      <c r="E130" s="14"/>
      <c r="F130" s="14"/>
      <c r="G130" s="14"/>
      <c r="H130" s="14"/>
      <c r="I130" s="14"/>
      <c r="J130" s="14"/>
      <c r="L130" s="15"/>
    </row>
    <row r="131" spans="2:12" ht="13" x14ac:dyDescent="0.15">
      <c r="B131" s="14"/>
      <c r="C131" s="14"/>
      <c r="D131" s="14"/>
      <c r="E131" s="14"/>
      <c r="F131" s="14"/>
      <c r="G131" s="14"/>
      <c r="H131" s="14"/>
      <c r="I131" s="14"/>
      <c r="J131" s="14"/>
      <c r="L131" s="15"/>
    </row>
    <row r="132" spans="2:12" ht="13" x14ac:dyDescent="0.15">
      <c r="B132" s="14"/>
      <c r="C132" s="14"/>
      <c r="D132" s="14"/>
      <c r="E132" s="14"/>
      <c r="F132" s="14"/>
      <c r="G132" s="14"/>
      <c r="H132" s="14"/>
      <c r="I132" s="14"/>
      <c r="J132" s="14"/>
      <c r="L132" s="15"/>
    </row>
    <row r="133" spans="2:12" ht="13" x14ac:dyDescent="0.15">
      <c r="B133" s="14"/>
      <c r="C133" s="14"/>
      <c r="D133" s="14"/>
      <c r="E133" s="14"/>
      <c r="F133" s="14"/>
      <c r="G133" s="14"/>
      <c r="H133" s="14"/>
      <c r="I133" s="14"/>
      <c r="J133" s="14"/>
      <c r="L133" s="15"/>
    </row>
    <row r="134" spans="2:12" ht="13" x14ac:dyDescent="0.15">
      <c r="B134" s="14"/>
      <c r="C134" s="14"/>
      <c r="D134" s="14"/>
      <c r="E134" s="14"/>
      <c r="F134" s="14"/>
      <c r="G134" s="14"/>
      <c r="H134" s="14"/>
      <c r="I134" s="14"/>
      <c r="J134" s="14"/>
      <c r="L134" s="15"/>
    </row>
    <row r="135" spans="2:12" ht="13" x14ac:dyDescent="0.15">
      <c r="B135" s="14"/>
      <c r="C135" s="14"/>
      <c r="D135" s="14"/>
      <c r="E135" s="14"/>
      <c r="F135" s="14"/>
      <c r="G135" s="14"/>
      <c r="H135" s="14"/>
      <c r="I135" s="14"/>
      <c r="J135" s="14"/>
      <c r="L135" s="15"/>
    </row>
    <row r="136" spans="2:12" ht="13" x14ac:dyDescent="0.15">
      <c r="B136" s="14"/>
      <c r="C136" s="14"/>
      <c r="D136" s="14"/>
      <c r="E136" s="14"/>
      <c r="F136" s="14"/>
      <c r="G136" s="14"/>
      <c r="H136" s="14"/>
      <c r="I136" s="14"/>
      <c r="J136" s="14"/>
      <c r="L136" s="15"/>
    </row>
    <row r="137" spans="2:12" ht="13" x14ac:dyDescent="0.15">
      <c r="B137" s="14"/>
      <c r="C137" s="14"/>
      <c r="D137" s="14"/>
      <c r="E137" s="14"/>
      <c r="F137" s="14"/>
      <c r="G137" s="14"/>
      <c r="H137" s="14"/>
      <c r="I137" s="14"/>
      <c r="J137" s="14"/>
      <c r="L137" s="15"/>
    </row>
    <row r="138" spans="2:12" ht="13" x14ac:dyDescent="0.15">
      <c r="B138" s="14"/>
      <c r="C138" s="14"/>
      <c r="D138" s="14"/>
      <c r="E138" s="14"/>
      <c r="F138" s="14"/>
      <c r="G138" s="14"/>
      <c r="H138" s="14"/>
      <c r="I138" s="14"/>
      <c r="J138" s="14"/>
      <c r="L138" s="15"/>
    </row>
    <row r="139" spans="2:12" ht="13" x14ac:dyDescent="0.15">
      <c r="B139" s="14"/>
      <c r="C139" s="14"/>
      <c r="D139" s="14"/>
      <c r="E139" s="14"/>
      <c r="F139" s="14"/>
      <c r="G139" s="14"/>
      <c r="H139" s="14"/>
      <c r="I139" s="14"/>
      <c r="J139" s="14"/>
      <c r="L139" s="15"/>
    </row>
    <row r="140" spans="2:12" ht="13" x14ac:dyDescent="0.15">
      <c r="B140" s="14"/>
      <c r="C140" s="14"/>
      <c r="D140" s="14"/>
      <c r="E140" s="14"/>
      <c r="F140" s="14"/>
      <c r="G140" s="14"/>
      <c r="H140" s="14"/>
      <c r="I140" s="14"/>
      <c r="J140" s="14"/>
      <c r="L140" s="15"/>
    </row>
    <row r="141" spans="2:12" ht="13" x14ac:dyDescent="0.15">
      <c r="B141" s="14"/>
      <c r="C141" s="14"/>
      <c r="D141" s="14"/>
      <c r="E141" s="14"/>
      <c r="F141" s="14"/>
      <c r="G141" s="14"/>
      <c r="H141" s="14"/>
      <c r="I141" s="14"/>
      <c r="J141" s="14"/>
      <c r="L141" s="15"/>
    </row>
    <row r="142" spans="2:12" ht="13" x14ac:dyDescent="0.15">
      <c r="B142" s="14"/>
      <c r="C142" s="14"/>
      <c r="D142" s="14"/>
      <c r="E142" s="14"/>
      <c r="F142" s="14"/>
      <c r="G142" s="14"/>
      <c r="H142" s="14"/>
      <c r="I142" s="14"/>
      <c r="J142" s="14"/>
      <c r="L142" s="15"/>
    </row>
    <row r="143" spans="2:12" ht="13" x14ac:dyDescent="0.15">
      <c r="B143" s="14"/>
      <c r="C143" s="14"/>
      <c r="D143" s="14"/>
      <c r="E143" s="14"/>
      <c r="F143" s="14"/>
      <c r="G143" s="14"/>
      <c r="H143" s="14"/>
      <c r="I143" s="14"/>
      <c r="J143" s="14"/>
      <c r="L143" s="15"/>
    </row>
    <row r="144" spans="2:12" ht="13" x14ac:dyDescent="0.15">
      <c r="B144" s="14"/>
      <c r="C144" s="14"/>
      <c r="D144" s="14"/>
      <c r="E144" s="14"/>
      <c r="F144" s="14"/>
      <c r="G144" s="14"/>
      <c r="H144" s="14"/>
      <c r="I144" s="14"/>
      <c r="J144" s="14"/>
      <c r="L144" s="15"/>
    </row>
    <row r="145" spans="2:12" ht="13" x14ac:dyDescent="0.15">
      <c r="B145" s="14"/>
      <c r="C145" s="14"/>
      <c r="D145" s="14"/>
      <c r="E145" s="14"/>
      <c r="F145" s="14"/>
      <c r="G145" s="14"/>
      <c r="H145" s="14"/>
      <c r="I145" s="14"/>
      <c r="J145" s="14"/>
      <c r="L145" s="15"/>
    </row>
    <row r="146" spans="2:12" ht="13" x14ac:dyDescent="0.15">
      <c r="B146" s="14"/>
      <c r="C146" s="14"/>
      <c r="D146" s="14"/>
      <c r="E146" s="14"/>
      <c r="F146" s="14"/>
      <c r="G146" s="14"/>
      <c r="H146" s="14"/>
      <c r="I146" s="14"/>
      <c r="J146" s="14"/>
      <c r="L146" s="15"/>
    </row>
    <row r="147" spans="2:12" ht="13" x14ac:dyDescent="0.15">
      <c r="B147" s="14"/>
      <c r="C147" s="14"/>
      <c r="D147" s="14"/>
      <c r="E147" s="14"/>
      <c r="F147" s="14"/>
      <c r="G147" s="14"/>
      <c r="H147" s="14"/>
      <c r="I147" s="14"/>
      <c r="J147" s="14"/>
      <c r="L147" s="15"/>
    </row>
    <row r="148" spans="2:12" ht="13" x14ac:dyDescent="0.15">
      <c r="B148" s="14"/>
      <c r="C148" s="14"/>
      <c r="D148" s="14"/>
      <c r="E148" s="14"/>
      <c r="F148" s="14"/>
      <c r="G148" s="14"/>
      <c r="H148" s="14"/>
      <c r="I148" s="14"/>
      <c r="J148" s="14"/>
      <c r="L148" s="15"/>
    </row>
    <row r="149" spans="2:12" ht="13" x14ac:dyDescent="0.15">
      <c r="B149" s="14"/>
      <c r="C149" s="14"/>
      <c r="D149" s="14"/>
      <c r="E149" s="14"/>
      <c r="F149" s="14"/>
      <c r="G149" s="14"/>
      <c r="H149" s="14"/>
      <c r="I149" s="14"/>
      <c r="J149" s="14"/>
      <c r="L149" s="15"/>
    </row>
    <row r="150" spans="2:12" ht="13" x14ac:dyDescent="0.15">
      <c r="B150" s="14"/>
      <c r="C150" s="14"/>
      <c r="D150" s="14"/>
      <c r="E150" s="14"/>
      <c r="F150" s="14"/>
      <c r="G150" s="14"/>
      <c r="H150" s="14"/>
      <c r="I150" s="14"/>
      <c r="J150" s="14"/>
      <c r="L150" s="15"/>
    </row>
    <row r="151" spans="2:12" ht="13" x14ac:dyDescent="0.15">
      <c r="B151" s="14"/>
      <c r="C151" s="14"/>
      <c r="D151" s="14"/>
      <c r="E151" s="14"/>
      <c r="F151" s="14"/>
      <c r="G151" s="14"/>
      <c r="H151" s="14"/>
      <c r="I151" s="14"/>
      <c r="J151" s="14"/>
      <c r="L151" s="15"/>
    </row>
    <row r="152" spans="2:12" ht="13" x14ac:dyDescent="0.15">
      <c r="B152" s="14"/>
      <c r="C152" s="14"/>
      <c r="D152" s="14"/>
      <c r="E152" s="14"/>
      <c r="F152" s="14"/>
      <c r="G152" s="14"/>
      <c r="H152" s="14"/>
      <c r="I152" s="14"/>
      <c r="J152" s="14"/>
      <c r="L152" s="15"/>
    </row>
    <row r="153" spans="2:12" ht="13" x14ac:dyDescent="0.15">
      <c r="B153" s="14"/>
      <c r="C153" s="14"/>
      <c r="D153" s="14"/>
      <c r="E153" s="14"/>
      <c r="F153" s="14"/>
      <c r="G153" s="14"/>
      <c r="H153" s="14"/>
      <c r="I153" s="14"/>
      <c r="J153" s="14"/>
      <c r="L153" s="15"/>
    </row>
    <row r="154" spans="2:12" ht="13" x14ac:dyDescent="0.15">
      <c r="B154" s="14"/>
      <c r="C154" s="14"/>
      <c r="D154" s="14"/>
      <c r="E154" s="14"/>
      <c r="F154" s="14"/>
      <c r="G154" s="14"/>
      <c r="H154" s="14"/>
      <c r="I154" s="14"/>
      <c r="J154" s="14"/>
      <c r="L154" s="15"/>
    </row>
    <row r="155" spans="2:12" ht="13" x14ac:dyDescent="0.15">
      <c r="B155" s="14"/>
      <c r="C155" s="14"/>
      <c r="D155" s="14"/>
      <c r="E155" s="14"/>
      <c r="F155" s="14"/>
      <c r="G155" s="14"/>
      <c r="H155" s="14"/>
      <c r="I155" s="14"/>
      <c r="J155" s="14"/>
      <c r="L155" s="15"/>
    </row>
    <row r="156" spans="2:12" ht="13" x14ac:dyDescent="0.15">
      <c r="B156" s="14"/>
      <c r="C156" s="14"/>
      <c r="D156" s="14"/>
      <c r="E156" s="14"/>
      <c r="F156" s="14"/>
      <c r="G156" s="14"/>
      <c r="H156" s="14"/>
      <c r="I156" s="14"/>
      <c r="J156" s="14"/>
      <c r="L156" s="15"/>
    </row>
    <row r="157" spans="2:12" ht="13" x14ac:dyDescent="0.15">
      <c r="B157" s="14"/>
      <c r="C157" s="14"/>
      <c r="D157" s="14"/>
      <c r="E157" s="14"/>
      <c r="F157" s="14"/>
      <c r="G157" s="14"/>
      <c r="H157" s="14"/>
      <c r="I157" s="14"/>
      <c r="J157" s="14"/>
      <c r="L157" s="15"/>
    </row>
    <row r="158" spans="2:12" ht="13" x14ac:dyDescent="0.15">
      <c r="B158" s="14"/>
      <c r="C158" s="14"/>
      <c r="D158" s="14"/>
      <c r="E158" s="14"/>
      <c r="F158" s="14"/>
      <c r="G158" s="14"/>
      <c r="H158" s="14"/>
      <c r="I158" s="14"/>
      <c r="J158" s="14"/>
      <c r="L158" s="15"/>
    </row>
    <row r="159" spans="2:12" ht="13" x14ac:dyDescent="0.15">
      <c r="B159" s="14"/>
      <c r="C159" s="14"/>
      <c r="D159" s="14"/>
      <c r="E159" s="14"/>
      <c r="F159" s="14"/>
      <c r="G159" s="14"/>
      <c r="H159" s="14"/>
      <c r="I159" s="14"/>
      <c r="J159" s="14"/>
      <c r="L159" s="15"/>
    </row>
    <row r="160" spans="2:12" ht="13" x14ac:dyDescent="0.15">
      <c r="B160" s="14"/>
      <c r="C160" s="14"/>
      <c r="D160" s="14"/>
      <c r="E160" s="14"/>
      <c r="F160" s="14"/>
      <c r="G160" s="14"/>
      <c r="H160" s="14"/>
      <c r="I160" s="14"/>
      <c r="J160" s="14"/>
      <c r="L160" s="15"/>
    </row>
    <row r="161" spans="2:12" ht="13" x14ac:dyDescent="0.15">
      <c r="B161" s="14"/>
      <c r="C161" s="14"/>
      <c r="D161" s="14"/>
      <c r="E161" s="14"/>
      <c r="F161" s="14"/>
      <c r="G161" s="14"/>
      <c r="H161" s="14"/>
      <c r="I161" s="14"/>
      <c r="J161" s="14"/>
      <c r="L161" s="15"/>
    </row>
    <row r="162" spans="2:12" ht="13" x14ac:dyDescent="0.15">
      <c r="B162" s="14"/>
      <c r="C162" s="14"/>
      <c r="D162" s="14"/>
      <c r="E162" s="14"/>
      <c r="F162" s="14"/>
      <c r="G162" s="14"/>
      <c r="H162" s="14"/>
      <c r="I162" s="14"/>
      <c r="J162" s="14"/>
      <c r="L162" s="15"/>
    </row>
    <row r="163" spans="2:12" ht="13" x14ac:dyDescent="0.15">
      <c r="B163" s="14"/>
      <c r="C163" s="14"/>
      <c r="D163" s="14"/>
      <c r="E163" s="14"/>
      <c r="F163" s="14"/>
      <c r="G163" s="14"/>
      <c r="H163" s="14"/>
      <c r="I163" s="14"/>
      <c r="J163" s="14"/>
      <c r="L163" s="15"/>
    </row>
    <row r="164" spans="2:12" ht="13" x14ac:dyDescent="0.15">
      <c r="B164" s="14"/>
      <c r="C164" s="14"/>
      <c r="D164" s="14"/>
      <c r="E164" s="14"/>
      <c r="F164" s="14"/>
      <c r="G164" s="14"/>
      <c r="H164" s="14"/>
      <c r="I164" s="14"/>
      <c r="J164" s="14"/>
      <c r="L164" s="15"/>
    </row>
    <row r="165" spans="2:12" ht="13" x14ac:dyDescent="0.15">
      <c r="B165" s="14"/>
      <c r="C165" s="14"/>
      <c r="D165" s="14"/>
      <c r="E165" s="14"/>
      <c r="F165" s="14"/>
      <c r="G165" s="14"/>
      <c r="H165" s="14"/>
      <c r="I165" s="14"/>
      <c r="J165" s="14"/>
      <c r="L165" s="15"/>
    </row>
    <row r="166" spans="2:12" ht="13" x14ac:dyDescent="0.15">
      <c r="B166" s="14"/>
      <c r="C166" s="14"/>
      <c r="D166" s="14"/>
      <c r="E166" s="14"/>
      <c r="F166" s="14"/>
      <c r="G166" s="14"/>
      <c r="H166" s="14"/>
      <c r="I166" s="14"/>
      <c r="J166" s="14"/>
      <c r="L166" s="15"/>
    </row>
    <row r="167" spans="2:12" ht="13" x14ac:dyDescent="0.15">
      <c r="B167" s="14"/>
      <c r="C167" s="14"/>
      <c r="D167" s="14"/>
      <c r="E167" s="14"/>
      <c r="F167" s="14"/>
      <c r="G167" s="14"/>
      <c r="H167" s="14"/>
      <c r="I167" s="14"/>
      <c r="J167" s="14"/>
      <c r="L167" s="15"/>
    </row>
    <row r="168" spans="2:12" ht="13" x14ac:dyDescent="0.15">
      <c r="B168" s="14"/>
      <c r="C168" s="14"/>
      <c r="D168" s="14"/>
      <c r="E168" s="14"/>
      <c r="F168" s="14"/>
      <c r="G168" s="14"/>
      <c r="H168" s="14"/>
      <c r="I168" s="14"/>
      <c r="J168" s="14"/>
      <c r="L168" s="15"/>
    </row>
    <row r="169" spans="2:12" ht="13" x14ac:dyDescent="0.15">
      <c r="B169" s="14"/>
      <c r="C169" s="14"/>
      <c r="D169" s="14"/>
      <c r="E169" s="14"/>
      <c r="F169" s="14"/>
      <c r="G169" s="14"/>
      <c r="H169" s="14"/>
      <c r="I169" s="14"/>
      <c r="J169" s="14"/>
      <c r="L169" s="15"/>
    </row>
    <row r="170" spans="2:12" ht="13" x14ac:dyDescent="0.15">
      <c r="B170" s="14"/>
      <c r="C170" s="14"/>
      <c r="D170" s="14"/>
      <c r="E170" s="14"/>
      <c r="F170" s="14"/>
      <c r="G170" s="14"/>
      <c r="H170" s="14"/>
      <c r="I170" s="14"/>
      <c r="J170" s="14"/>
      <c r="L170" s="15"/>
    </row>
    <row r="171" spans="2:12" ht="13" x14ac:dyDescent="0.15">
      <c r="B171" s="14"/>
      <c r="C171" s="14"/>
      <c r="D171" s="14"/>
      <c r="E171" s="14"/>
      <c r="F171" s="14"/>
      <c r="G171" s="14"/>
      <c r="H171" s="14"/>
      <c r="I171" s="14"/>
      <c r="J171" s="14"/>
      <c r="L171" s="15"/>
    </row>
    <row r="172" spans="2:12" ht="13" x14ac:dyDescent="0.15">
      <c r="B172" s="14"/>
      <c r="C172" s="14"/>
      <c r="D172" s="14"/>
      <c r="E172" s="14"/>
      <c r="F172" s="14"/>
      <c r="G172" s="14"/>
      <c r="H172" s="14"/>
      <c r="I172" s="14"/>
      <c r="J172" s="14"/>
      <c r="L172" s="15"/>
    </row>
    <row r="173" spans="2:12" ht="13" x14ac:dyDescent="0.15">
      <c r="B173" s="14"/>
      <c r="C173" s="14"/>
      <c r="D173" s="14"/>
      <c r="E173" s="14"/>
      <c r="F173" s="14"/>
      <c r="G173" s="14"/>
      <c r="H173" s="14"/>
      <c r="I173" s="14"/>
      <c r="J173" s="14"/>
      <c r="L173" s="15"/>
    </row>
    <row r="174" spans="2:12" ht="13" x14ac:dyDescent="0.15">
      <c r="B174" s="14"/>
      <c r="C174" s="14"/>
      <c r="D174" s="14"/>
      <c r="E174" s="14"/>
      <c r="F174" s="14"/>
      <c r="G174" s="14"/>
      <c r="H174" s="14"/>
      <c r="I174" s="14"/>
      <c r="J174" s="14"/>
      <c r="L174" s="15"/>
    </row>
    <row r="175" spans="2:12" ht="13" x14ac:dyDescent="0.15">
      <c r="B175" s="14"/>
      <c r="C175" s="14"/>
      <c r="D175" s="14"/>
      <c r="E175" s="14"/>
      <c r="F175" s="14"/>
      <c r="G175" s="14"/>
      <c r="H175" s="14"/>
      <c r="I175" s="14"/>
      <c r="J175" s="14"/>
      <c r="L175" s="15"/>
    </row>
    <row r="176" spans="2:12" ht="13" x14ac:dyDescent="0.15">
      <c r="B176" s="14"/>
      <c r="C176" s="14"/>
      <c r="D176" s="14"/>
      <c r="E176" s="14"/>
      <c r="F176" s="14"/>
      <c r="G176" s="14"/>
      <c r="H176" s="14"/>
      <c r="I176" s="14"/>
      <c r="J176" s="14"/>
      <c r="L176" s="15"/>
    </row>
    <row r="177" spans="2:12" ht="13" x14ac:dyDescent="0.15">
      <c r="B177" s="14"/>
      <c r="C177" s="14"/>
      <c r="D177" s="14"/>
      <c r="E177" s="14"/>
      <c r="F177" s="14"/>
      <c r="G177" s="14"/>
      <c r="H177" s="14"/>
      <c r="I177" s="14"/>
      <c r="J177" s="14"/>
      <c r="L177" s="15"/>
    </row>
    <row r="178" spans="2:12" ht="13" x14ac:dyDescent="0.15">
      <c r="B178" s="14"/>
      <c r="C178" s="14"/>
      <c r="D178" s="14"/>
      <c r="E178" s="14"/>
      <c r="F178" s="14"/>
      <c r="G178" s="14"/>
      <c r="H178" s="14"/>
      <c r="I178" s="14"/>
      <c r="J178" s="14"/>
      <c r="L178" s="15"/>
    </row>
    <row r="179" spans="2:12" ht="13" x14ac:dyDescent="0.15">
      <c r="B179" s="14"/>
      <c r="C179" s="14"/>
      <c r="D179" s="14"/>
      <c r="E179" s="14"/>
      <c r="F179" s="14"/>
      <c r="G179" s="14"/>
      <c r="H179" s="14"/>
      <c r="I179" s="14"/>
      <c r="J179" s="14"/>
      <c r="L179" s="15"/>
    </row>
    <row r="180" spans="2:12" ht="13" x14ac:dyDescent="0.15">
      <c r="B180" s="14"/>
      <c r="C180" s="14"/>
      <c r="D180" s="14"/>
      <c r="E180" s="14"/>
      <c r="F180" s="14"/>
      <c r="G180" s="14"/>
      <c r="H180" s="14"/>
      <c r="I180" s="14"/>
      <c r="J180" s="14"/>
      <c r="L180" s="15"/>
    </row>
    <row r="181" spans="2:12" ht="13" x14ac:dyDescent="0.15">
      <c r="B181" s="14"/>
      <c r="C181" s="14"/>
      <c r="D181" s="14"/>
      <c r="E181" s="14"/>
      <c r="F181" s="14"/>
      <c r="G181" s="14"/>
      <c r="H181" s="14"/>
      <c r="I181" s="14"/>
      <c r="J181" s="14"/>
      <c r="L181" s="15"/>
    </row>
    <row r="182" spans="2:12" ht="13" x14ac:dyDescent="0.15">
      <c r="B182" s="14"/>
      <c r="C182" s="14"/>
      <c r="D182" s="14"/>
      <c r="E182" s="14"/>
      <c r="F182" s="14"/>
      <c r="G182" s="14"/>
      <c r="H182" s="14"/>
      <c r="I182" s="14"/>
      <c r="J182" s="14"/>
      <c r="L182" s="15"/>
    </row>
    <row r="183" spans="2:12" ht="13" x14ac:dyDescent="0.15">
      <c r="B183" s="14"/>
      <c r="C183" s="14"/>
      <c r="D183" s="14"/>
      <c r="E183" s="14"/>
      <c r="F183" s="14"/>
      <c r="G183" s="14"/>
      <c r="H183" s="14"/>
      <c r="I183" s="14"/>
      <c r="J183" s="14"/>
      <c r="L183" s="15"/>
    </row>
    <row r="184" spans="2:12" ht="13" x14ac:dyDescent="0.15">
      <c r="B184" s="14"/>
      <c r="C184" s="14"/>
      <c r="D184" s="14"/>
      <c r="E184" s="14"/>
      <c r="F184" s="14"/>
      <c r="G184" s="14"/>
      <c r="H184" s="14"/>
      <c r="I184" s="14"/>
      <c r="J184" s="14"/>
      <c r="L184" s="15"/>
    </row>
    <row r="185" spans="2:12" ht="13" x14ac:dyDescent="0.15">
      <c r="B185" s="14"/>
      <c r="C185" s="14"/>
      <c r="D185" s="14"/>
      <c r="E185" s="14"/>
      <c r="F185" s="14"/>
      <c r="G185" s="14"/>
      <c r="H185" s="14"/>
      <c r="I185" s="14"/>
      <c r="J185" s="14"/>
      <c r="L185" s="15"/>
    </row>
    <row r="186" spans="2:12" ht="13" x14ac:dyDescent="0.15">
      <c r="B186" s="14"/>
      <c r="C186" s="14"/>
      <c r="D186" s="14"/>
      <c r="E186" s="14"/>
      <c r="F186" s="14"/>
      <c r="G186" s="14"/>
      <c r="H186" s="14"/>
      <c r="I186" s="14"/>
      <c r="J186" s="14"/>
      <c r="L186" s="15"/>
    </row>
    <row r="187" spans="2:12" ht="13" x14ac:dyDescent="0.15">
      <c r="B187" s="14"/>
      <c r="C187" s="14"/>
      <c r="D187" s="14"/>
      <c r="E187" s="14"/>
      <c r="F187" s="14"/>
      <c r="G187" s="14"/>
      <c r="H187" s="14"/>
      <c r="I187" s="14"/>
      <c r="J187" s="14"/>
      <c r="L187" s="15"/>
    </row>
    <row r="188" spans="2:12" ht="13" x14ac:dyDescent="0.15">
      <c r="B188" s="14"/>
      <c r="C188" s="14"/>
      <c r="D188" s="14"/>
      <c r="E188" s="14"/>
      <c r="F188" s="14"/>
      <c r="G188" s="14"/>
      <c r="H188" s="14"/>
      <c r="I188" s="14"/>
      <c r="J188" s="14"/>
      <c r="L188" s="15"/>
    </row>
    <row r="189" spans="2:12" ht="13" x14ac:dyDescent="0.15">
      <c r="B189" s="14"/>
      <c r="C189" s="14"/>
      <c r="D189" s="14"/>
      <c r="E189" s="14"/>
      <c r="F189" s="14"/>
      <c r="G189" s="14"/>
      <c r="H189" s="14"/>
      <c r="I189" s="14"/>
      <c r="J189" s="14"/>
      <c r="L189" s="15"/>
    </row>
    <row r="190" spans="2:12" ht="13" x14ac:dyDescent="0.15">
      <c r="B190" s="14"/>
      <c r="C190" s="14"/>
      <c r="D190" s="14"/>
      <c r="E190" s="14"/>
      <c r="F190" s="14"/>
      <c r="G190" s="14"/>
      <c r="H190" s="14"/>
      <c r="I190" s="14"/>
      <c r="J190" s="14"/>
      <c r="L190" s="15"/>
    </row>
    <row r="191" spans="2:12" ht="13" x14ac:dyDescent="0.15">
      <c r="B191" s="14"/>
      <c r="C191" s="14"/>
      <c r="D191" s="14"/>
      <c r="E191" s="14"/>
      <c r="F191" s="14"/>
      <c r="G191" s="14"/>
      <c r="H191" s="14"/>
      <c r="I191" s="14"/>
      <c r="J191" s="14"/>
      <c r="L191" s="15"/>
    </row>
    <row r="192" spans="2:12" ht="13" x14ac:dyDescent="0.15">
      <c r="B192" s="14"/>
      <c r="C192" s="14"/>
      <c r="D192" s="14"/>
      <c r="E192" s="14"/>
      <c r="F192" s="14"/>
      <c r="G192" s="14"/>
      <c r="H192" s="14"/>
      <c r="I192" s="14"/>
      <c r="J192" s="14"/>
      <c r="L192" s="15"/>
    </row>
    <row r="193" spans="2:12" ht="13" x14ac:dyDescent="0.15">
      <c r="B193" s="14"/>
      <c r="C193" s="14"/>
      <c r="D193" s="14"/>
      <c r="E193" s="14"/>
      <c r="F193" s="14"/>
      <c r="G193" s="14"/>
      <c r="H193" s="14"/>
      <c r="I193" s="14"/>
      <c r="J193" s="14"/>
      <c r="L193" s="15"/>
    </row>
    <row r="194" spans="2:12" ht="13" x14ac:dyDescent="0.15">
      <c r="B194" s="14"/>
      <c r="C194" s="14"/>
      <c r="D194" s="14"/>
      <c r="E194" s="14"/>
      <c r="F194" s="14"/>
      <c r="G194" s="14"/>
      <c r="H194" s="14"/>
      <c r="I194" s="14"/>
      <c r="J194" s="14"/>
      <c r="L194" s="15"/>
    </row>
    <row r="195" spans="2:12" ht="13" x14ac:dyDescent="0.15">
      <c r="B195" s="14"/>
      <c r="C195" s="14"/>
      <c r="D195" s="14"/>
      <c r="E195" s="14"/>
      <c r="F195" s="14"/>
      <c r="G195" s="14"/>
      <c r="H195" s="14"/>
      <c r="I195" s="14"/>
      <c r="J195" s="14"/>
      <c r="L195" s="15"/>
    </row>
    <row r="196" spans="2:12" ht="13" x14ac:dyDescent="0.15">
      <c r="B196" s="14"/>
      <c r="C196" s="14"/>
      <c r="D196" s="14"/>
      <c r="E196" s="14"/>
      <c r="F196" s="14"/>
      <c r="G196" s="14"/>
      <c r="H196" s="14"/>
      <c r="I196" s="14"/>
      <c r="J196" s="14"/>
      <c r="L196" s="15"/>
    </row>
    <row r="197" spans="2:12" ht="13" x14ac:dyDescent="0.15">
      <c r="B197" s="14"/>
      <c r="C197" s="14"/>
      <c r="D197" s="14"/>
      <c r="E197" s="14"/>
      <c r="F197" s="14"/>
      <c r="G197" s="14"/>
      <c r="H197" s="14"/>
      <c r="I197" s="14"/>
      <c r="J197" s="14"/>
      <c r="L197" s="15"/>
    </row>
    <row r="198" spans="2:12" ht="13" x14ac:dyDescent="0.15">
      <c r="B198" s="14"/>
      <c r="C198" s="14"/>
      <c r="D198" s="14"/>
      <c r="E198" s="14"/>
      <c r="F198" s="14"/>
      <c r="G198" s="14"/>
      <c r="H198" s="14"/>
      <c r="I198" s="14"/>
      <c r="J198" s="14"/>
      <c r="L198" s="15"/>
    </row>
    <row r="199" spans="2:12" ht="13" x14ac:dyDescent="0.15">
      <c r="B199" s="14"/>
      <c r="C199" s="14"/>
      <c r="D199" s="14"/>
      <c r="E199" s="14"/>
      <c r="F199" s="14"/>
      <c r="G199" s="14"/>
      <c r="H199" s="14"/>
      <c r="I199" s="14"/>
      <c r="J199" s="14"/>
      <c r="L199" s="15"/>
    </row>
    <row r="200" spans="2:12" ht="13" x14ac:dyDescent="0.15">
      <c r="B200" s="14"/>
      <c r="C200" s="14"/>
      <c r="D200" s="14"/>
      <c r="E200" s="14"/>
      <c r="F200" s="14"/>
      <c r="G200" s="14"/>
      <c r="H200" s="14"/>
      <c r="I200" s="14"/>
      <c r="J200" s="14"/>
      <c r="L200" s="15"/>
    </row>
    <row r="201" spans="2:12" ht="13" x14ac:dyDescent="0.15">
      <c r="B201" s="14"/>
      <c r="C201" s="14"/>
      <c r="D201" s="14"/>
      <c r="E201" s="14"/>
      <c r="F201" s="14"/>
      <c r="G201" s="14"/>
      <c r="H201" s="14"/>
      <c r="I201" s="14"/>
      <c r="J201" s="14"/>
      <c r="L201" s="15"/>
    </row>
    <row r="202" spans="2:12" ht="13" x14ac:dyDescent="0.15">
      <c r="B202" s="14"/>
      <c r="C202" s="14"/>
      <c r="D202" s="14"/>
      <c r="E202" s="14"/>
      <c r="F202" s="14"/>
      <c r="G202" s="14"/>
      <c r="H202" s="14"/>
      <c r="I202" s="14"/>
      <c r="J202" s="14"/>
      <c r="L202" s="15"/>
    </row>
    <row r="203" spans="2:12" ht="13" x14ac:dyDescent="0.15">
      <c r="B203" s="14"/>
      <c r="C203" s="14"/>
      <c r="D203" s="14"/>
      <c r="E203" s="14"/>
      <c r="F203" s="14"/>
      <c r="G203" s="14"/>
      <c r="H203" s="14"/>
      <c r="I203" s="14"/>
      <c r="J203" s="14"/>
      <c r="L203" s="15"/>
    </row>
    <row r="204" spans="2:12" ht="13" x14ac:dyDescent="0.15">
      <c r="B204" s="14"/>
      <c r="C204" s="14"/>
      <c r="D204" s="14"/>
      <c r="E204" s="14"/>
      <c r="F204" s="14"/>
      <c r="G204" s="14"/>
      <c r="H204" s="14"/>
      <c r="I204" s="14"/>
      <c r="J204" s="14"/>
      <c r="L204" s="15"/>
    </row>
    <row r="205" spans="2:12" ht="13" x14ac:dyDescent="0.15">
      <c r="B205" s="14"/>
      <c r="C205" s="14"/>
      <c r="D205" s="14"/>
      <c r="E205" s="14"/>
      <c r="F205" s="14"/>
      <c r="G205" s="14"/>
      <c r="H205" s="14"/>
      <c r="I205" s="14"/>
      <c r="J205" s="14"/>
      <c r="L205" s="15"/>
    </row>
    <row r="206" spans="2:12" ht="13" x14ac:dyDescent="0.15">
      <c r="B206" s="14"/>
      <c r="C206" s="14"/>
      <c r="D206" s="14"/>
      <c r="E206" s="14"/>
      <c r="F206" s="14"/>
      <c r="G206" s="14"/>
      <c r="H206" s="14"/>
      <c r="I206" s="14"/>
      <c r="J206" s="14"/>
      <c r="L206" s="15"/>
    </row>
    <row r="207" spans="2:12" ht="13" x14ac:dyDescent="0.15">
      <c r="B207" s="14"/>
      <c r="C207" s="14"/>
      <c r="D207" s="14"/>
      <c r="E207" s="14"/>
      <c r="F207" s="14"/>
      <c r="G207" s="14"/>
      <c r="H207" s="14"/>
      <c r="I207" s="14"/>
      <c r="J207" s="14"/>
      <c r="L207" s="15"/>
    </row>
    <row r="208" spans="2:12" ht="13" x14ac:dyDescent="0.15">
      <c r="B208" s="14"/>
      <c r="C208" s="14"/>
      <c r="D208" s="14"/>
      <c r="E208" s="14"/>
      <c r="F208" s="14"/>
      <c r="G208" s="14"/>
      <c r="H208" s="14"/>
      <c r="I208" s="14"/>
      <c r="J208" s="14"/>
      <c r="L208" s="15"/>
    </row>
    <row r="209" spans="2:12" ht="13" x14ac:dyDescent="0.15">
      <c r="B209" s="14"/>
      <c r="C209" s="14"/>
      <c r="D209" s="14"/>
      <c r="E209" s="14"/>
      <c r="F209" s="14"/>
      <c r="G209" s="14"/>
      <c r="H209" s="14"/>
      <c r="I209" s="14"/>
      <c r="J209" s="14"/>
      <c r="L209" s="15"/>
    </row>
    <row r="210" spans="2:12" ht="13" x14ac:dyDescent="0.15">
      <c r="B210" s="14"/>
      <c r="C210" s="14"/>
      <c r="D210" s="14"/>
      <c r="E210" s="14"/>
      <c r="F210" s="14"/>
      <c r="G210" s="14"/>
      <c r="H210" s="14"/>
      <c r="I210" s="14"/>
      <c r="J210" s="14"/>
      <c r="L210" s="15"/>
    </row>
    <row r="211" spans="2:12" ht="13" x14ac:dyDescent="0.15">
      <c r="B211" s="14"/>
      <c r="C211" s="14"/>
      <c r="D211" s="14"/>
      <c r="E211" s="14"/>
      <c r="F211" s="14"/>
      <c r="G211" s="14"/>
      <c r="H211" s="14"/>
      <c r="I211" s="14"/>
      <c r="J211" s="14"/>
      <c r="L211" s="15"/>
    </row>
    <row r="212" spans="2:12" ht="13" x14ac:dyDescent="0.15">
      <c r="B212" s="14"/>
      <c r="C212" s="14"/>
      <c r="D212" s="14"/>
      <c r="E212" s="14"/>
      <c r="F212" s="14"/>
      <c r="G212" s="14"/>
      <c r="H212" s="14"/>
      <c r="I212" s="14"/>
      <c r="J212" s="14"/>
      <c r="L212" s="15"/>
    </row>
    <row r="213" spans="2:12" ht="13" x14ac:dyDescent="0.15">
      <c r="B213" s="14"/>
      <c r="C213" s="14"/>
      <c r="D213" s="14"/>
      <c r="E213" s="14"/>
      <c r="F213" s="14"/>
      <c r="G213" s="14"/>
      <c r="H213" s="14"/>
      <c r="I213" s="14"/>
      <c r="J213" s="14"/>
      <c r="L213" s="15"/>
    </row>
    <row r="214" spans="2:12" ht="13" x14ac:dyDescent="0.15">
      <c r="B214" s="14"/>
      <c r="C214" s="14"/>
      <c r="D214" s="14"/>
      <c r="E214" s="14"/>
      <c r="F214" s="14"/>
      <c r="G214" s="14"/>
      <c r="H214" s="14"/>
      <c r="I214" s="14"/>
      <c r="J214" s="14"/>
      <c r="L214" s="15"/>
    </row>
    <row r="215" spans="2:12" ht="13" x14ac:dyDescent="0.15">
      <c r="B215" s="14"/>
      <c r="C215" s="14"/>
      <c r="D215" s="14"/>
      <c r="E215" s="14"/>
      <c r="F215" s="14"/>
      <c r="G215" s="14"/>
      <c r="H215" s="14"/>
      <c r="I215" s="14"/>
      <c r="J215" s="14"/>
      <c r="L215" s="15"/>
    </row>
    <row r="216" spans="2:12" ht="13" x14ac:dyDescent="0.15">
      <c r="B216" s="14"/>
      <c r="C216" s="14"/>
      <c r="D216" s="14"/>
      <c r="E216" s="14"/>
      <c r="F216" s="14"/>
      <c r="G216" s="14"/>
      <c r="H216" s="14"/>
      <c r="I216" s="14"/>
      <c r="J216" s="14"/>
      <c r="L216" s="15"/>
    </row>
    <row r="217" spans="2:12" ht="13" x14ac:dyDescent="0.15">
      <c r="B217" s="14"/>
      <c r="C217" s="14"/>
      <c r="D217" s="14"/>
      <c r="E217" s="14"/>
      <c r="F217" s="14"/>
      <c r="G217" s="14"/>
      <c r="H217" s="14"/>
      <c r="I217" s="14"/>
      <c r="J217" s="14"/>
      <c r="L217" s="15"/>
    </row>
    <row r="218" spans="2:12" ht="13" x14ac:dyDescent="0.15">
      <c r="B218" s="14"/>
      <c r="C218" s="14"/>
      <c r="D218" s="14"/>
      <c r="E218" s="14"/>
      <c r="F218" s="14"/>
      <c r="G218" s="14"/>
      <c r="H218" s="14"/>
      <c r="I218" s="14"/>
      <c r="J218" s="14"/>
      <c r="L218" s="15"/>
    </row>
    <row r="219" spans="2:12" ht="13" x14ac:dyDescent="0.15">
      <c r="B219" s="14"/>
      <c r="C219" s="14"/>
      <c r="D219" s="14"/>
      <c r="E219" s="14"/>
      <c r="F219" s="14"/>
      <c r="G219" s="14"/>
      <c r="H219" s="14"/>
      <c r="I219" s="14"/>
      <c r="J219" s="14"/>
      <c r="L219" s="15"/>
    </row>
    <row r="220" spans="2:12" ht="13" x14ac:dyDescent="0.15">
      <c r="B220" s="14"/>
      <c r="C220" s="14"/>
      <c r="D220" s="14"/>
      <c r="E220" s="14"/>
      <c r="F220" s="14"/>
      <c r="G220" s="14"/>
      <c r="H220" s="14"/>
      <c r="I220" s="14"/>
      <c r="J220" s="14"/>
      <c r="L220" s="15"/>
    </row>
    <row r="221" spans="2:12" ht="13" x14ac:dyDescent="0.15">
      <c r="B221" s="14"/>
      <c r="C221" s="14"/>
      <c r="D221" s="14"/>
      <c r="E221" s="14"/>
      <c r="F221" s="14"/>
      <c r="G221" s="14"/>
      <c r="H221" s="14"/>
      <c r="I221" s="14"/>
      <c r="J221" s="14"/>
      <c r="L221" s="15"/>
    </row>
    <row r="222" spans="2:12" ht="13" x14ac:dyDescent="0.15">
      <c r="B222" s="14"/>
      <c r="C222" s="14"/>
      <c r="D222" s="14"/>
      <c r="E222" s="14"/>
      <c r="F222" s="14"/>
      <c r="G222" s="14"/>
      <c r="H222" s="14"/>
      <c r="I222" s="14"/>
      <c r="J222" s="14"/>
      <c r="L222" s="15"/>
    </row>
    <row r="223" spans="2:12" ht="13" x14ac:dyDescent="0.15">
      <c r="B223" s="14"/>
      <c r="C223" s="14"/>
      <c r="D223" s="14"/>
      <c r="E223" s="14"/>
      <c r="F223" s="14"/>
      <c r="G223" s="14"/>
      <c r="H223" s="14"/>
      <c r="I223" s="14"/>
      <c r="J223" s="14"/>
      <c r="L223" s="15"/>
    </row>
    <row r="224" spans="2:12" ht="13" x14ac:dyDescent="0.15">
      <c r="B224" s="14"/>
      <c r="C224" s="14"/>
      <c r="D224" s="14"/>
      <c r="E224" s="14"/>
      <c r="F224" s="14"/>
      <c r="G224" s="14"/>
      <c r="H224" s="14"/>
      <c r="I224" s="14"/>
      <c r="J224" s="14"/>
      <c r="L224" s="15"/>
    </row>
    <row r="225" spans="2:12" ht="13" x14ac:dyDescent="0.15">
      <c r="B225" s="14"/>
      <c r="C225" s="14"/>
      <c r="D225" s="14"/>
      <c r="E225" s="14"/>
      <c r="F225" s="14"/>
      <c r="G225" s="14"/>
      <c r="H225" s="14"/>
      <c r="I225" s="14"/>
      <c r="J225" s="14"/>
      <c r="L225" s="15"/>
    </row>
    <row r="226" spans="2:12" ht="13" x14ac:dyDescent="0.15">
      <c r="B226" s="14"/>
      <c r="C226" s="14"/>
      <c r="D226" s="14"/>
      <c r="E226" s="14"/>
      <c r="F226" s="14"/>
      <c r="G226" s="14"/>
      <c r="H226" s="14"/>
      <c r="I226" s="14"/>
      <c r="J226" s="14"/>
      <c r="L226" s="15"/>
    </row>
    <row r="227" spans="2:12" ht="13" x14ac:dyDescent="0.15">
      <c r="B227" s="14"/>
      <c r="C227" s="14"/>
      <c r="D227" s="14"/>
      <c r="E227" s="14"/>
      <c r="F227" s="14"/>
      <c r="G227" s="14"/>
      <c r="H227" s="14"/>
      <c r="I227" s="14"/>
      <c r="J227" s="14"/>
      <c r="L227" s="15"/>
    </row>
    <row r="228" spans="2:12" ht="13" x14ac:dyDescent="0.15">
      <c r="B228" s="14"/>
      <c r="C228" s="14"/>
      <c r="D228" s="14"/>
      <c r="E228" s="14"/>
      <c r="F228" s="14"/>
      <c r="G228" s="14"/>
      <c r="H228" s="14"/>
      <c r="I228" s="14"/>
      <c r="J228" s="14"/>
      <c r="L228" s="15"/>
    </row>
    <row r="229" spans="2:12" ht="13" x14ac:dyDescent="0.15">
      <c r="B229" s="14"/>
      <c r="C229" s="14"/>
      <c r="D229" s="14"/>
      <c r="E229" s="14"/>
      <c r="F229" s="14"/>
      <c r="G229" s="14"/>
      <c r="H229" s="14"/>
      <c r="I229" s="14"/>
      <c r="J229" s="14"/>
      <c r="L229" s="15"/>
    </row>
    <row r="230" spans="2:12" ht="13" x14ac:dyDescent="0.15">
      <c r="B230" s="14"/>
      <c r="C230" s="14"/>
      <c r="D230" s="14"/>
      <c r="E230" s="14"/>
      <c r="F230" s="14"/>
      <c r="G230" s="14"/>
      <c r="H230" s="14"/>
      <c r="I230" s="14"/>
      <c r="J230" s="14"/>
      <c r="L230" s="15"/>
    </row>
    <row r="231" spans="2:12" ht="13" x14ac:dyDescent="0.15">
      <c r="B231" s="14"/>
      <c r="C231" s="14"/>
      <c r="D231" s="14"/>
      <c r="E231" s="14"/>
      <c r="F231" s="14"/>
      <c r="G231" s="14"/>
      <c r="H231" s="14"/>
      <c r="I231" s="14"/>
      <c r="J231" s="14"/>
      <c r="L231" s="15"/>
    </row>
    <row r="232" spans="2:12" ht="13" x14ac:dyDescent="0.15">
      <c r="B232" s="14"/>
      <c r="C232" s="14"/>
      <c r="D232" s="14"/>
      <c r="E232" s="14"/>
      <c r="F232" s="14"/>
      <c r="G232" s="14"/>
      <c r="H232" s="14"/>
      <c r="I232" s="14"/>
      <c r="J232" s="14"/>
      <c r="L232" s="15"/>
    </row>
    <row r="233" spans="2:12" ht="13" x14ac:dyDescent="0.15">
      <c r="B233" s="14"/>
      <c r="C233" s="14"/>
      <c r="D233" s="14"/>
      <c r="E233" s="14"/>
      <c r="F233" s="14"/>
      <c r="G233" s="14"/>
      <c r="H233" s="14"/>
      <c r="I233" s="14"/>
      <c r="J233" s="14"/>
      <c r="L233" s="15"/>
    </row>
    <row r="234" spans="2:12" ht="13" x14ac:dyDescent="0.15">
      <c r="B234" s="14"/>
      <c r="C234" s="14"/>
      <c r="D234" s="14"/>
      <c r="E234" s="14"/>
      <c r="F234" s="14"/>
      <c r="G234" s="14"/>
      <c r="H234" s="14"/>
      <c r="I234" s="14"/>
      <c r="J234" s="14"/>
      <c r="L234" s="15"/>
    </row>
    <row r="235" spans="2:12" ht="13" x14ac:dyDescent="0.15">
      <c r="B235" s="14"/>
      <c r="C235" s="14"/>
      <c r="D235" s="14"/>
      <c r="E235" s="14"/>
      <c r="F235" s="14"/>
      <c r="G235" s="14"/>
      <c r="H235" s="14"/>
      <c r="I235" s="14"/>
      <c r="J235" s="14"/>
      <c r="L235" s="15"/>
    </row>
    <row r="236" spans="2:12" ht="13" x14ac:dyDescent="0.15">
      <c r="B236" s="14"/>
      <c r="C236" s="14"/>
      <c r="D236" s="14"/>
      <c r="E236" s="14"/>
      <c r="F236" s="14"/>
      <c r="G236" s="14"/>
      <c r="H236" s="14"/>
      <c r="I236" s="14"/>
      <c r="J236" s="14"/>
      <c r="L236" s="15"/>
    </row>
    <row r="237" spans="2:12" ht="13" x14ac:dyDescent="0.15">
      <c r="B237" s="14"/>
      <c r="C237" s="14"/>
      <c r="D237" s="14"/>
      <c r="E237" s="14"/>
      <c r="F237" s="14"/>
      <c r="G237" s="14"/>
      <c r="H237" s="14"/>
      <c r="I237" s="14"/>
      <c r="J237" s="14"/>
      <c r="L237" s="15"/>
    </row>
    <row r="238" spans="2:12" ht="13" x14ac:dyDescent="0.15">
      <c r="B238" s="14"/>
      <c r="C238" s="14"/>
      <c r="D238" s="14"/>
      <c r="E238" s="14"/>
      <c r="F238" s="14"/>
      <c r="G238" s="14"/>
      <c r="H238" s="14"/>
      <c r="I238" s="14"/>
      <c r="J238" s="14"/>
      <c r="L238" s="15"/>
    </row>
    <row r="239" spans="2:12" ht="13" x14ac:dyDescent="0.15">
      <c r="B239" s="14"/>
      <c r="C239" s="14"/>
      <c r="D239" s="14"/>
      <c r="E239" s="14"/>
      <c r="F239" s="14"/>
      <c r="G239" s="14"/>
      <c r="H239" s="14"/>
      <c r="I239" s="14"/>
      <c r="J239" s="14"/>
      <c r="L239" s="15"/>
    </row>
    <row r="240" spans="2:12" ht="13" x14ac:dyDescent="0.15">
      <c r="B240" s="14"/>
      <c r="C240" s="14"/>
      <c r="D240" s="14"/>
      <c r="E240" s="14"/>
      <c r="F240" s="14"/>
      <c r="G240" s="14"/>
      <c r="H240" s="14"/>
      <c r="I240" s="14"/>
      <c r="J240" s="14"/>
      <c r="L240" s="15"/>
    </row>
    <row r="241" spans="2:12" ht="13" x14ac:dyDescent="0.15">
      <c r="B241" s="14"/>
      <c r="C241" s="14"/>
      <c r="D241" s="14"/>
      <c r="E241" s="14"/>
      <c r="F241" s="14"/>
      <c r="G241" s="14"/>
      <c r="H241" s="14"/>
      <c r="I241" s="14"/>
      <c r="J241" s="14"/>
      <c r="L241" s="15"/>
    </row>
    <row r="242" spans="2:12" ht="13" x14ac:dyDescent="0.15">
      <c r="B242" s="14"/>
      <c r="C242" s="14"/>
      <c r="D242" s="14"/>
      <c r="E242" s="14"/>
      <c r="F242" s="14"/>
      <c r="G242" s="14"/>
      <c r="H242" s="14"/>
      <c r="I242" s="14"/>
      <c r="J242" s="14"/>
      <c r="L242" s="15"/>
    </row>
    <row r="243" spans="2:12" ht="13" x14ac:dyDescent="0.15">
      <c r="B243" s="14"/>
      <c r="C243" s="14"/>
      <c r="D243" s="14"/>
      <c r="E243" s="14"/>
      <c r="F243" s="14"/>
      <c r="G243" s="14"/>
      <c r="H243" s="14"/>
      <c r="I243" s="14"/>
      <c r="J243" s="14"/>
      <c r="L243" s="15"/>
    </row>
    <row r="244" spans="2:12" ht="13" x14ac:dyDescent="0.15">
      <c r="B244" s="14"/>
      <c r="C244" s="14"/>
      <c r="D244" s="14"/>
      <c r="E244" s="14"/>
      <c r="F244" s="14"/>
      <c r="G244" s="14"/>
      <c r="H244" s="14"/>
      <c r="I244" s="14"/>
      <c r="J244" s="14"/>
      <c r="L244" s="15"/>
    </row>
    <row r="245" spans="2:12" ht="13" x14ac:dyDescent="0.15">
      <c r="B245" s="14"/>
      <c r="C245" s="14"/>
      <c r="D245" s="14"/>
      <c r="E245" s="14"/>
      <c r="F245" s="14"/>
      <c r="G245" s="14"/>
      <c r="H245" s="14"/>
      <c r="I245" s="14"/>
      <c r="J245" s="14"/>
      <c r="L245" s="15"/>
    </row>
    <row r="246" spans="2:12" ht="13" x14ac:dyDescent="0.15">
      <c r="B246" s="14"/>
      <c r="C246" s="14"/>
      <c r="D246" s="14"/>
      <c r="E246" s="14"/>
      <c r="F246" s="14"/>
      <c r="G246" s="14"/>
      <c r="H246" s="14"/>
      <c r="I246" s="14"/>
      <c r="J246" s="14"/>
      <c r="L246" s="15"/>
    </row>
    <row r="247" spans="2:12" ht="13" x14ac:dyDescent="0.15">
      <c r="B247" s="14"/>
      <c r="C247" s="14"/>
      <c r="D247" s="14"/>
      <c r="E247" s="14"/>
      <c r="F247" s="14"/>
      <c r="G247" s="14"/>
      <c r="H247" s="14"/>
      <c r="I247" s="14"/>
      <c r="J247" s="14"/>
      <c r="L247" s="15"/>
    </row>
    <row r="248" spans="2:12" ht="13" x14ac:dyDescent="0.15">
      <c r="B248" s="14"/>
      <c r="C248" s="14"/>
      <c r="D248" s="14"/>
      <c r="E248" s="14"/>
      <c r="F248" s="14"/>
      <c r="G248" s="14"/>
      <c r="H248" s="14"/>
      <c r="I248" s="14"/>
      <c r="J248" s="14"/>
      <c r="L248" s="15"/>
    </row>
    <row r="249" spans="2:12" ht="13" x14ac:dyDescent="0.15">
      <c r="B249" s="14"/>
      <c r="C249" s="14"/>
      <c r="D249" s="14"/>
      <c r="E249" s="14"/>
      <c r="F249" s="14"/>
      <c r="G249" s="14"/>
      <c r="H249" s="14"/>
      <c r="I249" s="14"/>
      <c r="J249" s="14"/>
      <c r="L249" s="15"/>
    </row>
    <row r="250" spans="2:12" ht="13" x14ac:dyDescent="0.15">
      <c r="B250" s="14"/>
      <c r="C250" s="14"/>
      <c r="D250" s="14"/>
      <c r="E250" s="14"/>
      <c r="F250" s="14"/>
      <c r="G250" s="14"/>
      <c r="H250" s="14"/>
      <c r="I250" s="14"/>
      <c r="J250" s="14"/>
      <c r="L250" s="15"/>
    </row>
    <row r="251" spans="2:12" ht="13" x14ac:dyDescent="0.15">
      <c r="B251" s="14"/>
      <c r="C251" s="14"/>
      <c r="D251" s="14"/>
      <c r="E251" s="14"/>
      <c r="F251" s="14"/>
      <c r="G251" s="14"/>
      <c r="H251" s="14"/>
      <c r="I251" s="14"/>
      <c r="J251" s="14"/>
      <c r="L251" s="15"/>
    </row>
    <row r="252" spans="2:12" ht="13" x14ac:dyDescent="0.15">
      <c r="B252" s="14"/>
      <c r="C252" s="14"/>
      <c r="D252" s="14"/>
      <c r="E252" s="14"/>
      <c r="F252" s="14"/>
      <c r="G252" s="14"/>
      <c r="H252" s="14"/>
      <c r="I252" s="14"/>
      <c r="J252" s="14"/>
      <c r="L252" s="15"/>
    </row>
    <row r="253" spans="2:12" ht="13" x14ac:dyDescent="0.15">
      <c r="B253" s="14"/>
      <c r="C253" s="14"/>
      <c r="D253" s="14"/>
      <c r="E253" s="14"/>
      <c r="F253" s="14"/>
      <c r="G253" s="14"/>
      <c r="H253" s="14"/>
      <c r="I253" s="14"/>
      <c r="J253" s="14"/>
      <c r="L253" s="15"/>
    </row>
    <row r="254" spans="2:12" ht="13" x14ac:dyDescent="0.15">
      <c r="B254" s="14"/>
      <c r="C254" s="14"/>
      <c r="D254" s="14"/>
      <c r="E254" s="14"/>
      <c r="F254" s="14"/>
      <c r="G254" s="14"/>
      <c r="H254" s="14"/>
      <c r="I254" s="14"/>
      <c r="J254" s="14"/>
      <c r="L254" s="15"/>
    </row>
    <row r="255" spans="2:12" ht="13" x14ac:dyDescent="0.15">
      <c r="B255" s="14"/>
      <c r="C255" s="14"/>
      <c r="D255" s="14"/>
      <c r="E255" s="14"/>
      <c r="F255" s="14"/>
      <c r="G255" s="14"/>
      <c r="H255" s="14"/>
      <c r="I255" s="14"/>
      <c r="J255" s="14"/>
      <c r="L255" s="15"/>
    </row>
    <row r="256" spans="2:12" ht="13" x14ac:dyDescent="0.15">
      <c r="B256" s="14"/>
      <c r="C256" s="14"/>
      <c r="D256" s="14"/>
      <c r="E256" s="14"/>
      <c r="F256" s="14"/>
      <c r="G256" s="14"/>
      <c r="H256" s="14"/>
      <c r="I256" s="14"/>
      <c r="J256" s="14"/>
      <c r="L256" s="15"/>
    </row>
    <row r="257" spans="2:12" ht="13" x14ac:dyDescent="0.15">
      <c r="B257" s="14"/>
      <c r="C257" s="14"/>
      <c r="D257" s="14"/>
      <c r="E257" s="14"/>
      <c r="F257" s="14"/>
      <c r="G257" s="14"/>
      <c r="H257" s="14"/>
      <c r="I257" s="14"/>
      <c r="J257" s="14"/>
      <c r="L257" s="15"/>
    </row>
    <row r="258" spans="2:12" ht="13" x14ac:dyDescent="0.15">
      <c r="B258" s="14"/>
      <c r="C258" s="14"/>
      <c r="D258" s="14"/>
      <c r="E258" s="14"/>
      <c r="F258" s="14"/>
      <c r="G258" s="14"/>
      <c r="H258" s="14"/>
      <c r="I258" s="14"/>
      <c r="J258" s="14"/>
      <c r="L258" s="15"/>
    </row>
    <row r="259" spans="2:12" ht="13" x14ac:dyDescent="0.15">
      <c r="B259" s="14"/>
      <c r="C259" s="14"/>
      <c r="D259" s="14"/>
      <c r="E259" s="14"/>
      <c r="F259" s="14"/>
      <c r="G259" s="14"/>
      <c r="H259" s="14"/>
      <c r="I259" s="14"/>
      <c r="J259" s="14"/>
      <c r="L259" s="15"/>
    </row>
    <row r="260" spans="2:12" ht="13" x14ac:dyDescent="0.15">
      <c r="B260" s="14"/>
      <c r="C260" s="14"/>
      <c r="D260" s="14"/>
      <c r="E260" s="14"/>
      <c r="F260" s="14"/>
      <c r="G260" s="14"/>
      <c r="H260" s="14"/>
      <c r="I260" s="14"/>
      <c r="J260" s="14"/>
      <c r="L260" s="15"/>
    </row>
    <row r="261" spans="2:12" ht="13" x14ac:dyDescent="0.15">
      <c r="B261" s="14"/>
      <c r="C261" s="14"/>
      <c r="D261" s="14"/>
      <c r="E261" s="14"/>
      <c r="F261" s="14"/>
      <c r="G261" s="14"/>
      <c r="H261" s="14"/>
      <c r="I261" s="14"/>
      <c r="J261" s="14"/>
      <c r="L261" s="15"/>
    </row>
    <row r="262" spans="2:12" ht="13" x14ac:dyDescent="0.15">
      <c r="B262" s="14"/>
      <c r="C262" s="14"/>
      <c r="D262" s="14"/>
      <c r="E262" s="14"/>
      <c r="F262" s="14"/>
      <c r="G262" s="14"/>
      <c r="H262" s="14"/>
      <c r="I262" s="14"/>
      <c r="J262" s="14"/>
      <c r="L262" s="15"/>
    </row>
    <row r="263" spans="2:12" ht="13" x14ac:dyDescent="0.15">
      <c r="B263" s="14"/>
      <c r="C263" s="14"/>
      <c r="D263" s="14"/>
      <c r="E263" s="14"/>
      <c r="F263" s="14"/>
      <c r="G263" s="14"/>
      <c r="H263" s="14"/>
      <c r="I263" s="14"/>
      <c r="J263" s="14"/>
      <c r="L263" s="15"/>
    </row>
    <row r="264" spans="2:12" ht="13" x14ac:dyDescent="0.15">
      <c r="B264" s="14"/>
      <c r="C264" s="14"/>
      <c r="D264" s="14"/>
      <c r="E264" s="14"/>
      <c r="F264" s="14"/>
      <c r="G264" s="14"/>
      <c r="H264" s="14"/>
      <c r="I264" s="14"/>
      <c r="J264" s="14"/>
      <c r="L264" s="15"/>
    </row>
    <row r="265" spans="2:12" ht="13" x14ac:dyDescent="0.15">
      <c r="B265" s="14"/>
      <c r="C265" s="14"/>
      <c r="D265" s="14"/>
      <c r="E265" s="14"/>
      <c r="F265" s="14"/>
      <c r="G265" s="14"/>
      <c r="H265" s="14"/>
      <c r="I265" s="14"/>
      <c r="J265" s="14"/>
      <c r="L265" s="15"/>
    </row>
    <row r="266" spans="2:12" ht="13" x14ac:dyDescent="0.15">
      <c r="B266" s="14"/>
      <c r="C266" s="14"/>
      <c r="D266" s="14"/>
      <c r="E266" s="14"/>
      <c r="F266" s="14"/>
      <c r="G266" s="14"/>
      <c r="H266" s="14"/>
      <c r="I266" s="14"/>
      <c r="J266" s="14"/>
      <c r="L266" s="15"/>
    </row>
    <row r="267" spans="2:12" ht="13" x14ac:dyDescent="0.15">
      <c r="B267" s="14"/>
      <c r="C267" s="14"/>
      <c r="D267" s="14"/>
      <c r="E267" s="14"/>
      <c r="F267" s="14"/>
      <c r="G267" s="14"/>
      <c r="H267" s="14"/>
      <c r="I267" s="14"/>
      <c r="J267" s="14"/>
      <c r="L267" s="15"/>
    </row>
    <row r="268" spans="2:12" ht="13" x14ac:dyDescent="0.15">
      <c r="B268" s="14"/>
      <c r="C268" s="14"/>
      <c r="D268" s="14"/>
      <c r="E268" s="14"/>
      <c r="F268" s="14"/>
      <c r="G268" s="14"/>
      <c r="H268" s="14"/>
      <c r="I268" s="14"/>
      <c r="J268" s="14"/>
      <c r="L268" s="15"/>
    </row>
    <row r="269" spans="2:12" ht="13" x14ac:dyDescent="0.15">
      <c r="B269" s="14"/>
      <c r="C269" s="14"/>
      <c r="D269" s="14"/>
      <c r="E269" s="14"/>
      <c r="F269" s="14"/>
      <c r="G269" s="14"/>
      <c r="H269" s="14"/>
      <c r="I269" s="14"/>
      <c r="J269" s="14"/>
      <c r="L269" s="15"/>
    </row>
  </sheetData>
  <phoneticPr fontId="13" type="noConversion"/>
  <conditionalFormatting sqref="H2:H269">
    <cfRule type="notContainsBlanks" dxfId="0" priority="1">
      <formula>LEN(TRIM(H2))&gt;0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69"/>
  <sheetViews>
    <sheetView topLeftCell="B1" workbookViewId="0">
      <selection activeCell="G2" sqref="G2"/>
    </sheetView>
  </sheetViews>
  <sheetFormatPr baseColWidth="10" defaultColWidth="12.6640625" defaultRowHeight="15.75" customHeight="1" x14ac:dyDescent="0.15"/>
  <cols>
    <col min="4" max="4" width="42.5" customWidth="1"/>
    <col min="5" max="5" width="41.5" customWidth="1"/>
  </cols>
  <sheetData>
    <row r="1" spans="1:11" ht="15.75" customHeight="1" x14ac:dyDescent="0.15">
      <c r="A1" s="2" t="s">
        <v>502</v>
      </c>
      <c r="B1" s="2" t="s">
        <v>503</v>
      </c>
      <c r="C1" s="17" t="s">
        <v>1692</v>
      </c>
      <c r="D1" s="2" t="s">
        <v>505</v>
      </c>
      <c r="E1" s="2" t="s">
        <v>506</v>
      </c>
      <c r="F1" s="2" t="s">
        <v>507</v>
      </c>
      <c r="G1" s="2" t="s">
        <v>508</v>
      </c>
      <c r="H1" s="2"/>
      <c r="I1" s="2" t="s">
        <v>83</v>
      </c>
      <c r="J1" s="19" t="s">
        <v>1798</v>
      </c>
      <c r="K1" s="2" t="s">
        <v>1799</v>
      </c>
    </row>
    <row r="2" spans="1:11" ht="15.75" customHeight="1" x14ac:dyDescent="0.15">
      <c r="A2" s="2" t="s">
        <v>512</v>
      </c>
      <c r="B2" s="14" t="s">
        <v>1800</v>
      </c>
      <c r="C2" s="14" t="s">
        <v>1695</v>
      </c>
      <c r="D2" s="14" t="s">
        <v>1801</v>
      </c>
      <c r="E2" s="14" t="s">
        <v>1802</v>
      </c>
      <c r="F2" s="14" t="s">
        <v>1803</v>
      </c>
      <c r="G2" s="14" t="s">
        <v>1804</v>
      </c>
      <c r="H2" s="14"/>
      <c r="I2" s="14" t="s">
        <v>1805</v>
      </c>
      <c r="J2" s="14" t="s">
        <v>1806</v>
      </c>
      <c r="K2" s="15">
        <v>6</v>
      </c>
    </row>
    <row r="3" spans="1:11" ht="15.75" customHeight="1" x14ac:dyDescent="0.15">
      <c r="A3" s="2" t="s">
        <v>512</v>
      </c>
      <c r="B3" s="14" t="s">
        <v>1800</v>
      </c>
      <c r="C3" s="14" t="s">
        <v>1695</v>
      </c>
      <c r="D3" s="14" t="str">
        <f t="shared" ref="D3:D15" si="0">"What is the " &amp; J3 &amp; " letter of the word " &amp; "\" &amp; """" &amp;I3  &amp; "\" &amp; """" &amp; "?"</f>
        <v>What is the 1st letter of the word \"isasaisip\"?</v>
      </c>
      <c r="E3" s="14" t="str">
        <f t="shared" ref="E3:E15" si="1">"Ano ang ika-" &amp;  K3&amp; " na titik ng salitang "  &amp; "\" &amp; """" &amp;I3  &amp; "\" &amp; """" &amp; "?"</f>
        <v>Ano ang ika-1 na titik ng salitang \"isasaisip\"?</v>
      </c>
      <c r="F3" s="14" t="s">
        <v>1803</v>
      </c>
      <c r="G3" s="14" t="s">
        <v>1807</v>
      </c>
      <c r="H3" s="14"/>
      <c r="I3" s="14" t="s">
        <v>1808</v>
      </c>
      <c r="J3" s="14" t="s">
        <v>1809</v>
      </c>
      <c r="K3" s="15">
        <v>1</v>
      </c>
    </row>
    <row r="4" spans="1:11" ht="15.75" customHeight="1" x14ac:dyDescent="0.15">
      <c r="A4" s="2" t="s">
        <v>512</v>
      </c>
      <c r="B4" s="14" t="s">
        <v>1800</v>
      </c>
      <c r="C4" s="14" t="s">
        <v>1695</v>
      </c>
      <c r="D4" s="14" t="str">
        <f t="shared" si="0"/>
        <v>What is the 2nd letter of the word \"nakikipag-iyutan\"?</v>
      </c>
      <c r="E4" s="14" t="str">
        <f t="shared" si="1"/>
        <v>Ano ang ika-2 na titik ng salitang \"nakikipag-iyutan\"?</v>
      </c>
      <c r="F4" s="14" t="s">
        <v>1810</v>
      </c>
      <c r="G4" s="14" t="s">
        <v>1811</v>
      </c>
      <c r="H4" s="14"/>
      <c r="I4" s="14" t="s">
        <v>1812</v>
      </c>
      <c r="J4" s="14" t="s">
        <v>1813</v>
      </c>
      <c r="K4" s="15">
        <v>2</v>
      </c>
    </row>
    <row r="5" spans="1:11" ht="15.75" customHeight="1" x14ac:dyDescent="0.15">
      <c r="A5" s="2" t="s">
        <v>512</v>
      </c>
      <c r="B5" s="14" t="s">
        <v>1800</v>
      </c>
      <c r="C5" s="14" t="s">
        <v>1695</v>
      </c>
      <c r="D5" s="14" t="str">
        <f t="shared" si="0"/>
        <v>What is the 7th letter of the word \"kauulit\"?</v>
      </c>
      <c r="E5" s="14" t="str">
        <f t="shared" si="1"/>
        <v>Ano ang ika-8 na titik ng salitang \"kauulit\"?</v>
      </c>
      <c r="F5" s="14" t="s">
        <v>1814</v>
      </c>
      <c r="G5" s="14" t="s">
        <v>1815</v>
      </c>
      <c r="H5" s="14"/>
      <c r="I5" s="14" t="s">
        <v>1816</v>
      </c>
      <c r="J5" s="14" t="s">
        <v>1817</v>
      </c>
      <c r="K5" s="15">
        <v>8</v>
      </c>
    </row>
    <row r="6" spans="1:11" ht="15.75" customHeight="1" x14ac:dyDescent="0.15">
      <c r="A6" s="2" t="s">
        <v>512</v>
      </c>
      <c r="B6" s="14" t="s">
        <v>1800</v>
      </c>
      <c r="C6" s="14" t="s">
        <v>1695</v>
      </c>
      <c r="D6" s="14" t="str">
        <f t="shared" si="0"/>
        <v>What is the 1st letter of the word \"umapaw\"?</v>
      </c>
      <c r="E6" s="14" t="str">
        <f t="shared" si="1"/>
        <v>Ano ang ika-1 na titik ng salitang \"umapaw\"?</v>
      </c>
      <c r="F6" s="14" t="s">
        <v>1818</v>
      </c>
      <c r="G6" s="14" t="s">
        <v>1819</v>
      </c>
      <c r="H6" s="14"/>
      <c r="I6" s="14" t="s">
        <v>1820</v>
      </c>
      <c r="J6" s="14" t="s">
        <v>1809</v>
      </c>
      <c r="K6" s="15">
        <v>1</v>
      </c>
    </row>
    <row r="7" spans="1:11" ht="15.75" customHeight="1" x14ac:dyDescent="0.15">
      <c r="A7" s="2" t="s">
        <v>512</v>
      </c>
      <c r="B7" s="14" t="s">
        <v>1800</v>
      </c>
      <c r="C7" s="14" t="s">
        <v>1695</v>
      </c>
      <c r="D7" s="14" t="str">
        <f t="shared" si="0"/>
        <v>What is the 9th letter of the word \"inulyawan\"?</v>
      </c>
      <c r="E7" s="14" t="str">
        <f t="shared" si="1"/>
        <v>Ano ang ika-9 na titik ng salitang \"inulyawan\"?</v>
      </c>
      <c r="F7" s="14" t="s">
        <v>1821</v>
      </c>
      <c r="G7" s="14" t="s">
        <v>1822</v>
      </c>
      <c r="H7" s="14"/>
      <c r="I7" s="14" t="s">
        <v>1823</v>
      </c>
      <c r="J7" s="14" t="s">
        <v>1824</v>
      </c>
      <c r="K7" s="15">
        <v>9</v>
      </c>
    </row>
    <row r="8" spans="1:11" ht="15.75" customHeight="1" x14ac:dyDescent="0.15">
      <c r="A8" s="2" t="s">
        <v>512</v>
      </c>
      <c r="B8" s="14" t="s">
        <v>1800</v>
      </c>
      <c r="C8" s="14" t="s">
        <v>1695</v>
      </c>
      <c r="D8" s="14" t="str">
        <f t="shared" si="0"/>
        <v>What is the 3rd letter of the word \"napakaulyanin\"?</v>
      </c>
      <c r="E8" s="14" t="str">
        <f t="shared" si="1"/>
        <v>Ano ang ika-3 na titik ng salitang \"napakaulyanin\"?</v>
      </c>
      <c r="F8" s="14" t="s">
        <v>1825</v>
      </c>
      <c r="G8" s="14" t="s">
        <v>1826</v>
      </c>
      <c r="H8" s="14"/>
      <c r="I8" s="14" t="s">
        <v>1827</v>
      </c>
      <c r="J8" s="14" t="s">
        <v>1828</v>
      </c>
      <c r="K8" s="15">
        <v>3</v>
      </c>
    </row>
    <row r="9" spans="1:11" ht="15.75" customHeight="1" x14ac:dyDescent="0.15">
      <c r="A9" s="2" t="s">
        <v>512</v>
      </c>
      <c r="B9" s="14" t="s">
        <v>1800</v>
      </c>
      <c r="C9" s="14" t="s">
        <v>1695</v>
      </c>
      <c r="D9" s="14" t="str">
        <f t="shared" si="0"/>
        <v>What is the 3rd letter of the word \"pag-ibayuhin\"?</v>
      </c>
      <c r="E9" s="14" t="str">
        <f t="shared" si="1"/>
        <v>Ano ang ika-3 na titik ng salitang \"pag-ibayuhin\"?</v>
      </c>
      <c r="F9" s="14" t="s">
        <v>1829</v>
      </c>
      <c r="G9" s="14" t="s">
        <v>1830</v>
      </c>
      <c r="H9" s="14"/>
      <c r="I9" s="14" t="s">
        <v>1831</v>
      </c>
      <c r="J9" s="14" t="s">
        <v>1828</v>
      </c>
      <c r="K9" s="15">
        <v>3</v>
      </c>
    </row>
    <row r="10" spans="1:11" ht="15.75" customHeight="1" x14ac:dyDescent="0.15">
      <c r="A10" s="2" t="s">
        <v>512</v>
      </c>
      <c r="B10" s="14" t="s">
        <v>1800</v>
      </c>
      <c r="C10" s="14" t="s">
        <v>1695</v>
      </c>
      <c r="D10" s="14" t="str">
        <f t="shared" si="0"/>
        <v>What is the 6th letter of the word \"alayan\"?</v>
      </c>
      <c r="E10" s="14" t="str">
        <f t="shared" si="1"/>
        <v>Ano ang ika-6 na titik ng salitang \"alayan\"?</v>
      </c>
      <c r="F10" s="14" t="s">
        <v>1821</v>
      </c>
      <c r="G10" s="14" t="s">
        <v>1832</v>
      </c>
      <c r="H10" s="14"/>
      <c r="I10" s="14" t="s">
        <v>1833</v>
      </c>
      <c r="J10" s="14" t="s">
        <v>1806</v>
      </c>
      <c r="K10" s="15">
        <v>6</v>
      </c>
    </row>
    <row r="11" spans="1:11" ht="15.75" customHeight="1" x14ac:dyDescent="0.15">
      <c r="A11" s="2" t="s">
        <v>512</v>
      </c>
      <c r="B11" s="14" t="s">
        <v>1800</v>
      </c>
      <c r="C11" s="14" t="s">
        <v>1695</v>
      </c>
      <c r="D11" s="14" t="str">
        <f t="shared" si="0"/>
        <v>What is the 10th letter of the word \"nakakausap\"?</v>
      </c>
      <c r="E11" s="14" t="str">
        <f t="shared" si="1"/>
        <v>Ano ang ika-10 na titik ng salitang \"nakakausap\"?</v>
      </c>
      <c r="F11" s="14" t="s">
        <v>1825</v>
      </c>
      <c r="G11" s="14" t="s">
        <v>1834</v>
      </c>
      <c r="H11" s="14"/>
      <c r="I11" s="14" t="s">
        <v>1835</v>
      </c>
      <c r="J11" s="14" t="s">
        <v>1836</v>
      </c>
      <c r="K11" s="15">
        <v>10</v>
      </c>
    </row>
    <row r="12" spans="1:11" ht="15.75" customHeight="1" x14ac:dyDescent="0.15">
      <c r="A12" s="2" t="s">
        <v>512</v>
      </c>
      <c r="B12" s="14" t="s">
        <v>1800</v>
      </c>
      <c r="C12" s="14" t="s">
        <v>1695</v>
      </c>
      <c r="D12" s="14" t="str">
        <f t="shared" si="0"/>
        <v>What is the 7th letter of the word \"nakapagpatutsada\"?</v>
      </c>
      <c r="E12" s="14" t="str">
        <f t="shared" si="1"/>
        <v>Ano ang ika-7 na titik ng salitang \"nakapagpatutsada\"?</v>
      </c>
      <c r="F12" s="14" t="s">
        <v>1829</v>
      </c>
      <c r="G12" s="14" t="s">
        <v>1837</v>
      </c>
      <c r="H12" s="14"/>
      <c r="I12" s="14" t="s">
        <v>1838</v>
      </c>
      <c r="J12" s="14" t="s">
        <v>1817</v>
      </c>
      <c r="K12" s="15">
        <v>7</v>
      </c>
    </row>
    <row r="13" spans="1:11" ht="15.75" customHeight="1" x14ac:dyDescent="0.15">
      <c r="A13" s="2" t="s">
        <v>512</v>
      </c>
      <c r="B13" s="14" t="s">
        <v>1800</v>
      </c>
      <c r="C13" s="14" t="s">
        <v>1695</v>
      </c>
      <c r="D13" s="14" t="str">
        <f t="shared" si="0"/>
        <v>What is the 4th letter of the word \"maalalahanin\"?</v>
      </c>
      <c r="E13" s="14" t="str">
        <f t="shared" si="1"/>
        <v>Ano ang ika-4 na titik ng salitang \"maalalahanin\"?</v>
      </c>
      <c r="F13" s="14" t="s">
        <v>1839</v>
      </c>
      <c r="G13" s="14" t="s">
        <v>1840</v>
      </c>
      <c r="H13" s="14"/>
      <c r="I13" s="14" t="s">
        <v>1841</v>
      </c>
      <c r="J13" s="14" t="s">
        <v>1842</v>
      </c>
      <c r="K13" s="15">
        <v>4</v>
      </c>
    </row>
    <row r="14" spans="1:11" ht="15.75" customHeight="1" x14ac:dyDescent="0.15">
      <c r="A14" s="2" t="s">
        <v>512</v>
      </c>
      <c r="B14" s="14" t="s">
        <v>1800</v>
      </c>
      <c r="C14" s="14" t="s">
        <v>1695</v>
      </c>
      <c r="D14" s="14" t="str">
        <f t="shared" si="0"/>
        <v>What is the 5th letter of the word \"baligtad\"?</v>
      </c>
      <c r="E14" s="14" t="str">
        <f t="shared" si="1"/>
        <v>Ano ang ika-5 na titik ng salitang \"baligtad\"?</v>
      </c>
      <c r="F14" s="2" t="s">
        <v>1829</v>
      </c>
      <c r="G14" s="14" t="s">
        <v>1843</v>
      </c>
      <c r="I14" s="2" t="s">
        <v>1844</v>
      </c>
      <c r="J14" s="2" t="s">
        <v>1845</v>
      </c>
      <c r="K14" s="2">
        <v>5</v>
      </c>
    </row>
    <row r="15" spans="1:11" ht="15.75" customHeight="1" x14ac:dyDescent="0.15">
      <c r="A15" s="2" t="s">
        <v>512</v>
      </c>
      <c r="B15" s="14" t="s">
        <v>1800</v>
      </c>
      <c r="C15" s="14" t="s">
        <v>1695</v>
      </c>
      <c r="D15" s="14" t="str">
        <f t="shared" si="0"/>
        <v>What is the 2nd letter of the word \"di-sadya\"?</v>
      </c>
      <c r="E15" s="14" t="str">
        <f t="shared" si="1"/>
        <v>Ano ang ika-2 na titik ng salitang \"di-sadya\"?</v>
      </c>
      <c r="F15" s="14" t="s">
        <v>1803</v>
      </c>
      <c r="G15" s="14" t="s">
        <v>1846</v>
      </c>
      <c r="H15" s="14"/>
      <c r="I15" s="14" t="s">
        <v>1847</v>
      </c>
      <c r="J15" s="14" t="s">
        <v>1813</v>
      </c>
      <c r="K15" s="15">
        <v>2</v>
      </c>
    </row>
    <row r="16" spans="1:11" ht="15.75" customHeight="1" x14ac:dyDescent="0.15">
      <c r="A16" s="2" t="s">
        <v>512</v>
      </c>
      <c r="B16" s="14" t="s">
        <v>1800</v>
      </c>
      <c r="C16" s="14" t="s">
        <v>1695</v>
      </c>
      <c r="D16" s="14" t="str">
        <f>"What is the " &amp; J16 &amp; " letter of the word " &amp; "\" &amp; """" &amp;character_counting!H40  &amp; "\" &amp; """" &amp; "?"</f>
        <v>What is the 1st letter of the word \"tagapanatili\"?</v>
      </c>
      <c r="E16" s="14" t="str">
        <f>"Ano ang ika-" &amp;  K16&amp; " na titik ng salitang "  &amp; "\" &amp; """" &amp;character_counting!H40  &amp; "\" &amp; """" &amp; "?"</f>
        <v>Ano ang ika-1 na titik ng salitang \"tagapanatili\"?</v>
      </c>
      <c r="F16" s="14" t="s">
        <v>1814</v>
      </c>
      <c r="G16" s="14" t="s">
        <v>1848</v>
      </c>
      <c r="H16" s="14"/>
      <c r="J16" s="14" t="s">
        <v>1809</v>
      </c>
      <c r="K16" s="15">
        <v>1</v>
      </c>
    </row>
    <row r="17" spans="1:11" ht="15.75" customHeight="1" x14ac:dyDescent="0.15">
      <c r="A17" s="2" t="s">
        <v>512</v>
      </c>
      <c r="B17" s="14" t="s">
        <v>1800</v>
      </c>
      <c r="C17" s="14" t="s">
        <v>1695</v>
      </c>
      <c r="D17" s="14" t="str">
        <f>"What is the " &amp; J17 &amp; " letter of the word " &amp; "\" &amp; """" &amp;character_counting!H41  &amp; "\" &amp; """" &amp; "?"</f>
        <v>What is the 7th letter of the word \"magsisipagsali\"?</v>
      </c>
      <c r="E17" s="14" t="str">
        <f>"Ano ang ika-" &amp;  K17&amp; " na titik ng salitang "  &amp; "\" &amp; """" &amp;character_counting!H41  &amp; "\" &amp; """" &amp; "?"</f>
        <v>Ano ang ika-7 na titik ng salitang \"magsisipagsali\"?</v>
      </c>
      <c r="F17" s="14" t="s">
        <v>1803</v>
      </c>
      <c r="G17" s="14" t="s">
        <v>1849</v>
      </c>
      <c r="H17" s="14"/>
      <c r="J17" s="14" t="s">
        <v>1817</v>
      </c>
      <c r="K17" s="15">
        <v>7</v>
      </c>
    </row>
    <row r="18" spans="1:11" ht="15.75" customHeight="1" x14ac:dyDescent="0.15">
      <c r="A18" s="2" t="s">
        <v>512</v>
      </c>
      <c r="B18" s="14" t="s">
        <v>1800</v>
      </c>
      <c r="C18" s="14" t="s">
        <v>1695</v>
      </c>
      <c r="D18" s="14" t="str">
        <f>"What is the " &amp; J18 &amp; " letter of the word " &amp; "\" &amp; """" &amp;character_counting!H42  &amp; "\" &amp; """" &amp; "?"</f>
        <v>What is the 3rd letter of the word \"napaglipasan\"?</v>
      </c>
      <c r="E18" s="14" t="str">
        <f>"Ano ang ika-" &amp;  K18&amp; " na titik ng salitang "  &amp; "\" &amp; """" &amp;character_counting!H42  &amp; "\" &amp; """" &amp; "?"</f>
        <v>Ano ang ika-3 na titik ng salitang \"napaglipasan\"?</v>
      </c>
      <c r="F18" s="2" t="s">
        <v>1825</v>
      </c>
      <c r="G18" s="14" t="s">
        <v>1850</v>
      </c>
      <c r="J18" s="2" t="s">
        <v>1828</v>
      </c>
      <c r="K18" s="15">
        <v>3</v>
      </c>
    </row>
    <row r="19" spans="1:11" ht="15.75" customHeight="1" x14ac:dyDescent="0.15">
      <c r="A19" s="2" t="s">
        <v>512</v>
      </c>
      <c r="B19" s="14" t="s">
        <v>1800</v>
      </c>
      <c r="C19" s="14" t="s">
        <v>1695</v>
      </c>
      <c r="D19" s="14" t="str">
        <f>"What is the " &amp; J19 &amp; " letter of the word " &amp; "\" &amp; """" &amp;character_counting!H43  &amp; "\" &amp; """" &amp; "?"</f>
        <v>What is the 7th letter of the word \"pag-abiso\"?</v>
      </c>
      <c r="E19" s="14" t="str">
        <f>"Ano ang ika-" &amp;  K19&amp; " na titik ng salitang "  &amp; "\" &amp; """" &amp;character_counting!H43  &amp; "\" &amp; """" &amp; "?"</f>
        <v>Ano ang ika-7 na titik ng salitang \"pag-abiso\"?</v>
      </c>
      <c r="F19" s="14" t="s">
        <v>1851</v>
      </c>
      <c r="G19" s="14" t="s">
        <v>1852</v>
      </c>
      <c r="H19" s="14"/>
      <c r="J19" s="14" t="s">
        <v>1817</v>
      </c>
      <c r="K19" s="15">
        <v>7</v>
      </c>
    </row>
    <row r="20" spans="1:11" ht="15.75" customHeight="1" x14ac:dyDescent="0.15">
      <c r="A20" s="2" t="s">
        <v>512</v>
      </c>
      <c r="B20" s="14" t="s">
        <v>1800</v>
      </c>
      <c r="C20" s="14" t="s">
        <v>1695</v>
      </c>
      <c r="D20" s="14" t="str">
        <f>"What is the " &amp; J20 &amp; " letter of the word " &amp; "\" &amp; """" &amp;character_counting!H44  &amp; "\" &amp; """" &amp; "?"</f>
        <v>What is the 4th letter of the word \"mapagtampo\"?</v>
      </c>
      <c r="E20" s="14" t="str">
        <f>"Ano ang ika-" &amp;  K20&amp; " na titik ng salitang "  &amp; "\" &amp; """" &amp;character_counting!H44  &amp; "\" &amp; """" &amp; "?"</f>
        <v>Ano ang ika-4 na titik ng salitang \"mapagtampo\"?</v>
      </c>
      <c r="F20" s="14" t="s">
        <v>1810</v>
      </c>
      <c r="G20" s="14" t="s">
        <v>1853</v>
      </c>
      <c r="H20" s="14"/>
      <c r="J20" s="14" t="s">
        <v>1842</v>
      </c>
      <c r="K20" s="15">
        <v>4</v>
      </c>
    </row>
    <row r="21" spans="1:11" ht="15.75" customHeight="1" x14ac:dyDescent="0.15">
      <c r="A21" s="2" t="s">
        <v>512</v>
      </c>
      <c r="B21" s="14" t="s">
        <v>1800</v>
      </c>
      <c r="C21" s="14" t="s">
        <v>1695</v>
      </c>
      <c r="D21" s="14" t="str">
        <f>"What is the " &amp; J21 &amp; " letter of the word " &amp; "\" &amp; """" &amp;character_counting!H45  &amp; "\" &amp; """" &amp; "?"</f>
        <v>What is the 1st letter of the word \"simbigo\"?</v>
      </c>
      <c r="E21" s="14" t="str">
        <f>"Ano ang ika-" &amp;  K21&amp; " na titik ng salitang "  &amp; "\" &amp; """" &amp;character_counting!H45  &amp; "\" &amp; """" &amp; "?"</f>
        <v>Ano ang ika-1 na titik ng salitang \"simbigo\"?</v>
      </c>
      <c r="F21" s="14" t="s">
        <v>1851</v>
      </c>
      <c r="G21" s="14" t="s">
        <v>1854</v>
      </c>
      <c r="H21" s="14"/>
      <c r="J21" s="14" t="s">
        <v>1809</v>
      </c>
      <c r="K21" s="15">
        <v>1</v>
      </c>
    </row>
    <row r="22" spans="1:11" ht="15.75" customHeight="1" x14ac:dyDescent="0.15">
      <c r="A22" s="2" t="s">
        <v>512</v>
      </c>
      <c r="B22" s="14" t="s">
        <v>1800</v>
      </c>
      <c r="C22" s="14" t="s">
        <v>1695</v>
      </c>
      <c r="D22" s="14" t="str">
        <f>"What is the " &amp; J22 &amp; " letter of the word " &amp; "\" &amp; """" &amp;character_counting!H46  &amp; "\" &amp; """" &amp; "?"</f>
        <v>What is the 7th letter of the word \"nagsitayo\"?</v>
      </c>
      <c r="E22" s="14" t="str">
        <f>"Ano ang ika-" &amp;  K22&amp; " na titik ng salitang "  &amp; "\" &amp; """" &amp;character_counting!H46  &amp; "\" &amp; """" &amp; "?"</f>
        <v>Ano ang ika-7 na titik ng salitang \"nagsitayo\"?</v>
      </c>
      <c r="F22" s="14" t="s">
        <v>1810</v>
      </c>
      <c r="G22" s="14" t="s">
        <v>1855</v>
      </c>
      <c r="H22" s="14"/>
      <c r="J22" s="14" t="s">
        <v>1817</v>
      </c>
      <c r="K22" s="15">
        <v>7</v>
      </c>
    </row>
    <row r="23" spans="1:11" ht="15.75" customHeight="1" x14ac:dyDescent="0.15">
      <c r="A23" s="2" t="s">
        <v>512</v>
      </c>
      <c r="B23" s="14" t="s">
        <v>1800</v>
      </c>
      <c r="C23" s="14" t="s">
        <v>1695</v>
      </c>
      <c r="D23" s="14" t="str">
        <f>"What is the " &amp; J23 &amp; " letter of the word " &amp; "\" &amp; """" &amp;character_counting!H47  &amp; "\" &amp; """" &amp; "?"</f>
        <v>What is the 6th letter of the word \"bulate\"?</v>
      </c>
      <c r="E23" s="14" t="str">
        <f>"Ano ang ika-" &amp;  K23&amp; " na titik ng salitang "  &amp; "\" &amp; """" &amp;character_counting!H47  &amp; "\" &amp; """" &amp; "?"</f>
        <v>Ano ang ika-6 na titik ng salitang \"bulate\"?</v>
      </c>
      <c r="F23" s="14" t="s">
        <v>1856</v>
      </c>
      <c r="G23" s="14" t="s">
        <v>1857</v>
      </c>
      <c r="H23" s="14"/>
      <c r="J23" s="14" t="s">
        <v>1806</v>
      </c>
      <c r="K23" s="15">
        <v>6</v>
      </c>
    </row>
    <row r="24" spans="1:11" ht="15.75" customHeight="1" x14ac:dyDescent="0.15">
      <c r="A24" s="2" t="s">
        <v>512</v>
      </c>
      <c r="B24" s="14" t="s">
        <v>1800</v>
      </c>
      <c r="C24" s="14" t="s">
        <v>1695</v>
      </c>
      <c r="D24" s="14" t="str">
        <f>"What is the " &amp; J24 &amp; " letter of the word " &amp; "\" &amp; """" &amp;character_counting!H48  &amp; "\" &amp; """" &amp; "?"</f>
        <v>What is the 6th letter of the word \"pinakadetalyado\"?</v>
      </c>
      <c r="E24" s="14" t="str">
        <f>"Ano ang ika-" &amp;  K24&amp; " na titik ng salitang "  &amp; "\" &amp; """" &amp;character_counting!H48  &amp; "\" &amp; """" &amp; "?"</f>
        <v>Ano ang ika-6 na titik ng salitang \"pinakadetalyado\"?</v>
      </c>
      <c r="F24" s="14" t="s">
        <v>1810</v>
      </c>
      <c r="G24" s="14" t="s">
        <v>1858</v>
      </c>
      <c r="H24" s="14"/>
      <c r="J24" s="14" t="s">
        <v>1806</v>
      </c>
      <c r="K24" s="15">
        <v>6</v>
      </c>
    </row>
    <row r="25" spans="1:11" ht="15.75" customHeight="1" x14ac:dyDescent="0.15">
      <c r="A25" s="2" t="s">
        <v>512</v>
      </c>
      <c r="B25" s="14" t="s">
        <v>1800</v>
      </c>
      <c r="C25" s="14" t="s">
        <v>1695</v>
      </c>
      <c r="D25" s="14" t="str">
        <f>"What is the " &amp; J25 &amp; " letter of the word " &amp; "\" &amp; """" &amp;character_counting!H49  &amp; "\" &amp; """" &amp; "?"</f>
        <v>What is the 8th letter of the word \"pambubusabos\"?</v>
      </c>
      <c r="E25" s="14" t="str">
        <f>"Ano ang ika-" &amp;  K25&amp; " na titik ng salitang "  &amp; "\" &amp; """" &amp;character_counting!H49  &amp; "\" &amp; """" &amp; "?"</f>
        <v>Ano ang ika-8 na titik ng salitang \"pambubusabos\"?</v>
      </c>
      <c r="F25" s="14" t="s">
        <v>1851</v>
      </c>
      <c r="G25" s="14" t="s">
        <v>1859</v>
      </c>
      <c r="H25" s="14"/>
      <c r="J25" s="14" t="s">
        <v>1860</v>
      </c>
      <c r="K25" s="15">
        <v>8</v>
      </c>
    </row>
    <row r="26" spans="1:11" ht="15.75" customHeight="1" x14ac:dyDescent="0.15">
      <c r="A26" s="2" t="s">
        <v>512</v>
      </c>
      <c r="B26" s="14" t="s">
        <v>1800</v>
      </c>
      <c r="C26" s="14" t="s">
        <v>1695</v>
      </c>
      <c r="D26" s="14" t="str">
        <f>"What is the " &amp; J26 &amp; " letter of the word " &amp; "\" &amp; """" &amp;character_counting!H50  &amp; "\" &amp; """" &amp; "?"</f>
        <v>What is the 10th letter of the word \"magpapasahod\"?</v>
      </c>
      <c r="E26" s="14" t="str">
        <f>"Ano ang ika-" &amp;  K26&amp; " na titik ng salitang "  &amp; "\" &amp; """" &amp;character_counting!H50  &amp; "\" &amp; """" &amp; "?"</f>
        <v>Ano ang ika-10 na titik ng salitang \"magpapasahod\"?</v>
      </c>
      <c r="F26" s="14" t="s">
        <v>1861</v>
      </c>
      <c r="G26" s="14" t="s">
        <v>1862</v>
      </c>
      <c r="H26" s="14"/>
      <c r="J26" s="14" t="s">
        <v>1836</v>
      </c>
      <c r="K26" s="15">
        <v>10</v>
      </c>
    </row>
    <row r="27" spans="1:11" ht="15.75" customHeight="1" x14ac:dyDescent="0.15">
      <c r="A27" s="2" t="s">
        <v>512</v>
      </c>
      <c r="B27" s="14" t="s">
        <v>1800</v>
      </c>
      <c r="C27" s="14" t="s">
        <v>1695</v>
      </c>
      <c r="D27" s="14" t="str">
        <f>"What is the " &amp; J27 &amp; " letter of the word " &amp; "\" &amp; """" &amp;character_counting!H51  &amp; "\" &amp; """" &amp; "?"</f>
        <v>What is the 5th letter of the word \"paruparo\"?</v>
      </c>
      <c r="E27" s="14" t="str">
        <f>"Ano ang ika-" &amp;  K27&amp; " na titik ng salitang "  &amp; "\" &amp; """" &amp;character_counting!H51  &amp; "\" &amp; """" &amp; "?"</f>
        <v>Ano ang ika-5 na titik ng salitang \"paruparo\"?</v>
      </c>
      <c r="F27" s="2" t="s">
        <v>1825</v>
      </c>
      <c r="G27" s="14" t="s">
        <v>1863</v>
      </c>
      <c r="J27" s="2" t="s">
        <v>1845</v>
      </c>
      <c r="K27" s="15">
        <v>5</v>
      </c>
    </row>
    <row r="28" spans="1:11" ht="15.75" customHeight="1" x14ac:dyDescent="0.15">
      <c r="A28" s="2" t="s">
        <v>512</v>
      </c>
      <c r="B28" s="14" t="s">
        <v>1800</v>
      </c>
      <c r="C28" s="14" t="s">
        <v>1695</v>
      </c>
      <c r="D28" s="14" t="str">
        <f t="shared" ref="D28:D59" si="2">"What is the " &amp; J28 &amp; " letter of the word " &amp; "\" &amp; """" &amp;I28  &amp; "\" &amp; """" &amp; "?"</f>
        <v>What is the 4th letter of the word \"mambubukid\"?</v>
      </c>
      <c r="E28" s="14" t="str">
        <f t="shared" ref="E28:E59" si="3">"Ano ang ika-" &amp;  K28&amp; " na titik ng salitang "  &amp; "\" &amp; """" &amp;I28  &amp; "\" &amp; """" &amp; "?"</f>
        <v>Ano ang ika-4 na titik ng salitang \"mambubukid\"?</v>
      </c>
      <c r="F28" s="14" t="s">
        <v>1864</v>
      </c>
      <c r="G28" s="14" t="s">
        <v>1865</v>
      </c>
      <c r="H28" s="14"/>
      <c r="I28" s="14" t="s">
        <v>1866</v>
      </c>
      <c r="J28" s="14" t="s">
        <v>1842</v>
      </c>
      <c r="K28" s="15">
        <v>4</v>
      </c>
    </row>
    <row r="29" spans="1:11" ht="15.75" customHeight="1" x14ac:dyDescent="0.15">
      <c r="A29" s="2" t="s">
        <v>512</v>
      </c>
      <c r="B29" s="14" t="s">
        <v>1800</v>
      </c>
      <c r="C29" s="14" t="s">
        <v>1695</v>
      </c>
      <c r="D29" s="14" t="str">
        <f t="shared" si="2"/>
        <v>What is the 4th letter of the word \"nakaalam\"?</v>
      </c>
      <c r="E29" s="14" t="str">
        <f t="shared" si="3"/>
        <v>Ano ang ika-4 na titik ng salitang \"nakaalam\"?</v>
      </c>
      <c r="F29" s="14" t="s">
        <v>1810</v>
      </c>
      <c r="G29" s="14" t="s">
        <v>1867</v>
      </c>
      <c r="H29" s="14"/>
      <c r="I29" s="14" t="s">
        <v>1868</v>
      </c>
      <c r="J29" s="14" t="s">
        <v>1842</v>
      </c>
      <c r="K29" s="15">
        <v>4</v>
      </c>
    </row>
    <row r="30" spans="1:11" ht="15.75" customHeight="1" x14ac:dyDescent="0.15">
      <c r="A30" s="2" t="s">
        <v>512</v>
      </c>
      <c r="B30" s="14" t="s">
        <v>1800</v>
      </c>
      <c r="C30" s="14" t="s">
        <v>1695</v>
      </c>
      <c r="D30" s="14" t="str">
        <f t="shared" si="2"/>
        <v>What is the 7th letter of the word \"kasintotoo\"?</v>
      </c>
      <c r="E30" s="14" t="str">
        <f t="shared" si="3"/>
        <v>Ano ang ika-7 na titik ng salitang \"kasintotoo\"?</v>
      </c>
      <c r="F30" s="14" t="s">
        <v>549</v>
      </c>
      <c r="G30" s="14" t="s">
        <v>1869</v>
      </c>
      <c r="H30" s="14"/>
      <c r="I30" s="14" t="s">
        <v>1870</v>
      </c>
      <c r="J30" s="14" t="s">
        <v>1817</v>
      </c>
      <c r="K30" s="15">
        <v>7</v>
      </c>
    </row>
    <row r="31" spans="1:11" ht="15.75" customHeight="1" x14ac:dyDescent="0.15">
      <c r="A31" s="2" t="s">
        <v>512</v>
      </c>
      <c r="B31" s="14" t="s">
        <v>1800</v>
      </c>
      <c r="C31" s="14" t="s">
        <v>1695</v>
      </c>
      <c r="D31" s="14" t="str">
        <f t="shared" si="2"/>
        <v>What is the 4th letter of the word \"pagawaan\"?</v>
      </c>
      <c r="E31" s="14" t="str">
        <f t="shared" si="3"/>
        <v>Ano ang ika-4 na titik ng salitang \"pagawaan\"?</v>
      </c>
      <c r="F31" s="14" t="s">
        <v>1810</v>
      </c>
      <c r="G31" s="14" t="s">
        <v>1871</v>
      </c>
      <c r="H31" s="14"/>
      <c r="I31" s="14" t="s">
        <v>1872</v>
      </c>
      <c r="J31" s="14" t="s">
        <v>1842</v>
      </c>
      <c r="K31" s="15">
        <v>4</v>
      </c>
    </row>
    <row r="32" spans="1:11" ht="15.75" customHeight="1" x14ac:dyDescent="0.15">
      <c r="A32" s="2" t="s">
        <v>512</v>
      </c>
      <c r="B32" s="14" t="s">
        <v>1800</v>
      </c>
      <c r="C32" s="14" t="s">
        <v>1695</v>
      </c>
      <c r="D32" s="14" t="str">
        <f t="shared" si="2"/>
        <v>What is the 7th letter of the word \"nagsakayan\"?</v>
      </c>
      <c r="E32" s="14" t="str">
        <f t="shared" si="3"/>
        <v>Ano ang ika-7 na titik ng salitang \"nagsakayan\"?</v>
      </c>
      <c r="F32" s="14" t="s">
        <v>1810</v>
      </c>
      <c r="G32" s="14" t="s">
        <v>1873</v>
      </c>
      <c r="H32" s="14"/>
      <c r="I32" s="14" t="s">
        <v>1874</v>
      </c>
      <c r="J32" s="14" t="s">
        <v>1817</v>
      </c>
      <c r="K32" s="15">
        <v>7</v>
      </c>
    </row>
    <row r="33" spans="1:11" ht="15.75" customHeight="1" x14ac:dyDescent="0.15">
      <c r="A33" s="2" t="s">
        <v>512</v>
      </c>
      <c r="B33" s="14" t="s">
        <v>1800</v>
      </c>
      <c r="C33" s="14" t="s">
        <v>1695</v>
      </c>
      <c r="D33" s="14" t="str">
        <f t="shared" si="2"/>
        <v>What is the 11th letter of the word \"mapasunod-sunod\"?</v>
      </c>
      <c r="E33" s="14" t="str">
        <f t="shared" si="3"/>
        <v>Ano ang ika-11 na titik ng salitang \"mapasunod-sunod\"?</v>
      </c>
      <c r="F33" s="14" t="s">
        <v>1818</v>
      </c>
      <c r="G33" s="14" t="s">
        <v>1875</v>
      </c>
      <c r="H33" s="14"/>
      <c r="I33" s="14" t="s">
        <v>1876</v>
      </c>
      <c r="J33" s="14" t="s">
        <v>1877</v>
      </c>
      <c r="K33" s="15">
        <v>11</v>
      </c>
    </row>
    <row r="34" spans="1:11" ht="15.75" customHeight="1" x14ac:dyDescent="0.15">
      <c r="A34" s="2" t="s">
        <v>512</v>
      </c>
      <c r="B34" s="14" t="s">
        <v>1800</v>
      </c>
      <c r="C34" s="14" t="s">
        <v>1695</v>
      </c>
      <c r="D34" s="14" t="str">
        <f t="shared" si="2"/>
        <v>What is the 8th letter of the word \"magmasid-masid\"?</v>
      </c>
      <c r="E34" s="14" t="str">
        <f t="shared" si="3"/>
        <v>Ano ang ika-8 na titik ng salitang \"magmasid-masid\"?</v>
      </c>
      <c r="F34" s="14" t="s">
        <v>1878</v>
      </c>
      <c r="G34" s="14" t="s">
        <v>1879</v>
      </c>
      <c r="H34" s="14"/>
      <c r="I34" s="14" t="s">
        <v>1880</v>
      </c>
      <c r="J34" s="14" t="s">
        <v>1860</v>
      </c>
      <c r="K34" s="15">
        <v>8</v>
      </c>
    </row>
    <row r="35" spans="1:11" ht="15.75" customHeight="1" x14ac:dyDescent="0.15">
      <c r="A35" s="2" t="s">
        <v>512</v>
      </c>
      <c r="B35" s="14" t="s">
        <v>1800</v>
      </c>
      <c r="C35" s="14" t="s">
        <v>1695</v>
      </c>
      <c r="D35" s="14" t="str">
        <f t="shared" si="2"/>
        <v>What is the 13th letter of the word \"makikipagdaldalan\"?</v>
      </c>
      <c r="E35" s="14" t="str">
        <f t="shared" si="3"/>
        <v>Ano ang ika-13 na titik ng salitang \"makikipagdaldalan\"?</v>
      </c>
      <c r="F35" s="14" t="s">
        <v>1878</v>
      </c>
      <c r="G35" s="14" t="s">
        <v>1881</v>
      </c>
      <c r="H35" s="14"/>
      <c r="I35" s="14" t="s">
        <v>1882</v>
      </c>
      <c r="J35" s="14" t="s">
        <v>1883</v>
      </c>
      <c r="K35" s="15">
        <v>13</v>
      </c>
    </row>
    <row r="36" spans="1:11" ht="15.75" customHeight="1" x14ac:dyDescent="0.15">
      <c r="A36" s="2" t="s">
        <v>512</v>
      </c>
      <c r="B36" s="14" t="s">
        <v>1800</v>
      </c>
      <c r="C36" s="14" t="s">
        <v>1695</v>
      </c>
      <c r="D36" s="14" t="str">
        <f t="shared" si="2"/>
        <v>What is the 5th letter of the word \"ratsadera\"?</v>
      </c>
      <c r="E36" s="14" t="str">
        <f t="shared" si="3"/>
        <v>Ano ang ika-5 na titik ng salitang \"ratsadera\"?</v>
      </c>
      <c r="F36" s="14" t="s">
        <v>1810</v>
      </c>
      <c r="G36" s="14" t="s">
        <v>1884</v>
      </c>
      <c r="H36" s="14"/>
      <c r="I36" s="14" t="s">
        <v>1885</v>
      </c>
      <c r="J36" s="14" t="s">
        <v>1845</v>
      </c>
      <c r="K36" s="15">
        <v>5</v>
      </c>
    </row>
    <row r="37" spans="1:11" ht="15.75" customHeight="1" x14ac:dyDescent="0.15">
      <c r="A37" s="2" t="s">
        <v>512</v>
      </c>
      <c r="B37" s="14" t="s">
        <v>1800</v>
      </c>
      <c r="C37" s="14" t="s">
        <v>1695</v>
      </c>
      <c r="D37" s="14" t="str">
        <f t="shared" si="2"/>
        <v>What is the 12th letter of the word \"bahay-bahayan\"?</v>
      </c>
      <c r="E37" s="14" t="str">
        <f t="shared" si="3"/>
        <v>Ano ang ika-12 na titik ng salitang \"bahay-bahayan\"?</v>
      </c>
      <c r="F37" s="14" t="s">
        <v>1821</v>
      </c>
      <c r="G37" s="14" t="s">
        <v>1886</v>
      </c>
      <c r="H37" s="14"/>
      <c r="I37" s="14" t="s">
        <v>1887</v>
      </c>
      <c r="J37" s="14" t="s">
        <v>1888</v>
      </c>
      <c r="K37" s="15">
        <v>12</v>
      </c>
    </row>
    <row r="38" spans="1:11" ht="15.75" customHeight="1" x14ac:dyDescent="0.15">
      <c r="A38" s="2" t="s">
        <v>512</v>
      </c>
      <c r="B38" s="14" t="s">
        <v>1800</v>
      </c>
      <c r="C38" s="14" t="s">
        <v>1695</v>
      </c>
      <c r="D38" s="14" t="str">
        <f t="shared" si="2"/>
        <v>What is the 1st letter of the word \"nagpapayat\"?</v>
      </c>
      <c r="E38" s="14" t="str">
        <f t="shared" si="3"/>
        <v>Ano ang ika-1 na titik ng salitang \"nagpapayat\"?</v>
      </c>
      <c r="F38" s="14" t="s">
        <v>1821</v>
      </c>
      <c r="G38" s="14" t="s">
        <v>1889</v>
      </c>
      <c r="H38" s="14"/>
      <c r="I38" s="14" t="s">
        <v>1890</v>
      </c>
      <c r="J38" s="14" t="s">
        <v>1809</v>
      </c>
      <c r="K38" s="15">
        <v>1</v>
      </c>
    </row>
    <row r="39" spans="1:11" ht="15.75" customHeight="1" x14ac:dyDescent="0.15">
      <c r="A39" s="2" t="s">
        <v>512</v>
      </c>
      <c r="B39" s="14" t="s">
        <v>1800</v>
      </c>
      <c r="C39" s="14" t="s">
        <v>1695</v>
      </c>
      <c r="D39" s="14" t="str">
        <f t="shared" si="2"/>
        <v>What is the 3rd letter of the word \"tagapag-ihaw\"?</v>
      </c>
      <c r="E39" s="14" t="str">
        <f t="shared" si="3"/>
        <v>Ano ang ika-3 na titik ng salitang \"tagapag-ihaw\"?</v>
      </c>
      <c r="F39" s="14" t="s">
        <v>1829</v>
      </c>
      <c r="G39" s="14" t="s">
        <v>1891</v>
      </c>
      <c r="H39" s="14"/>
      <c r="I39" s="14" t="s">
        <v>1892</v>
      </c>
      <c r="J39" s="14" t="s">
        <v>1828</v>
      </c>
      <c r="K39" s="15">
        <v>3</v>
      </c>
    </row>
    <row r="40" spans="1:11" ht="15.75" customHeight="1" x14ac:dyDescent="0.15">
      <c r="A40" s="2" t="s">
        <v>512</v>
      </c>
      <c r="B40" s="14" t="s">
        <v>1800</v>
      </c>
      <c r="C40" s="14" t="s">
        <v>1695</v>
      </c>
      <c r="D40" s="14" t="str">
        <f t="shared" si="2"/>
        <v>What is the 6th letter of the word \"paunlarin\"?</v>
      </c>
      <c r="E40" s="14" t="str">
        <f t="shared" si="3"/>
        <v>Ano ang ika-6 na titik ng salitang \"paunlarin\"?</v>
      </c>
      <c r="F40" s="14" t="s">
        <v>1810</v>
      </c>
      <c r="G40" s="14" t="s">
        <v>1893</v>
      </c>
      <c r="H40" s="14"/>
      <c r="I40" s="14" t="s">
        <v>1894</v>
      </c>
      <c r="J40" s="14" t="s">
        <v>1806</v>
      </c>
      <c r="K40" s="15">
        <v>6</v>
      </c>
    </row>
    <row r="41" spans="1:11" ht="15.75" customHeight="1" x14ac:dyDescent="0.15">
      <c r="A41" s="2" t="s">
        <v>512</v>
      </c>
      <c r="B41" s="14" t="s">
        <v>1800</v>
      </c>
      <c r="C41" s="14" t="s">
        <v>1695</v>
      </c>
      <c r="D41" s="14" t="str">
        <f t="shared" si="2"/>
        <v>What is the 6th letter of the word \"nahimok\"?</v>
      </c>
      <c r="E41" s="14" t="str">
        <f t="shared" si="3"/>
        <v>Ano ang ika-6 na titik ng salitang \"nahimok\"?</v>
      </c>
      <c r="F41" s="14" t="s">
        <v>549</v>
      </c>
      <c r="G41" s="14" t="s">
        <v>1895</v>
      </c>
      <c r="H41" s="14"/>
      <c r="I41" s="14" t="s">
        <v>1896</v>
      </c>
      <c r="J41" s="14" t="s">
        <v>1806</v>
      </c>
      <c r="K41" s="15">
        <v>6</v>
      </c>
    </row>
    <row r="42" spans="1:11" ht="15.75" customHeight="1" x14ac:dyDescent="0.15">
      <c r="A42" s="2" t="s">
        <v>512</v>
      </c>
      <c r="B42" s="14" t="s">
        <v>1800</v>
      </c>
      <c r="C42" s="14" t="s">
        <v>1695</v>
      </c>
      <c r="D42" s="14" t="str">
        <f t="shared" si="2"/>
        <v>What is the 8th letter of the word \"makakapilit\"?</v>
      </c>
      <c r="E42" s="14" t="str">
        <f t="shared" si="3"/>
        <v>Ano ang ika-8 na titik ng salitang \"makakapilit\"?</v>
      </c>
      <c r="F42" s="14" t="s">
        <v>1803</v>
      </c>
      <c r="G42" s="14" t="s">
        <v>1897</v>
      </c>
      <c r="H42" s="14"/>
      <c r="I42" s="14" t="s">
        <v>1898</v>
      </c>
      <c r="J42" s="14" t="s">
        <v>1860</v>
      </c>
      <c r="K42" s="15">
        <v>8</v>
      </c>
    </row>
    <row r="43" spans="1:11" ht="15.75" customHeight="1" x14ac:dyDescent="0.15">
      <c r="A43" s="2" t="s">
        <v>512</v>
      </c>
      <c r="B43" s="14" t="s">
        <v>1800</v>
      </c>
      <c r="C43" s="14" t="s">
        <v>1695</v>
      </c>
      <c r="D43" s="14" t="str">
        <f t="shared" si="2"/>
        <v>What is the 2nd letter of the word \"ipandadaig\"?</v>
      </c>
      <c r="E43" s="14" t="str">
        <f t="shared" si="3"/>
        <v>Ano ang ika-2 na titik ng salitang \"ipandadaig\"?</v>
      </c>
      <c r="F43" s="14" t="s">
        <v>1825</v>
      </c>
      <c r="G43" s="14" t="s">
        <v>1899</v>
      </c>
      <c r="H43" s="14"/>
      <c r="I43" s="14" t="s">
        <v>1900</v>
      </c>
      <c r="J43" s="14" t="s">
        <v>1813</v>
      </c>
      <c r="K43" s="15">
        <v>2</v>
      </c>
    </row>
    <row r="44" spans="1:11" ht="15.75" customHeight="1" x14ac:dyDescent="0.15">
      <c r="A44" s="2" t="s">
        <v>512</v>
      </c>
      <c r="B44" s="14" t="s">
        <v>1800</v>
      </c>
      <c r="C44" s="14" t="s">
        <v>1695</v>
      </c>
      <c r="D44" s="14" t="str">
        <f t="shared" si="2"/>
        <v>What is the 5th letter of the word \"napadalas\"?</v>
      </c>
      <c r="E44" s="14" t="str">
        <f t="shared" si="3"/>
        <v>Ano ang ika-5 na titik ng salitang \"napadalas\"?</v>
      </c>
      <c r="F44" s="14" t="s">
        <v>1878</v>
      </c>
      <c r="G44" s="14" t="s">
        <v>1901</v>
      </c>
      <c r="H44" s="14"/>
      <c r="I44" s="14" t="s">
        <v>1902</v>
      </c>
      <c r="J44" s="14" t="s">
        <v>1845</v>
      </c>
      <c r="K44" s="15">
        <v>5</v>
      </c>
    </row>
    <row r="45" spans="1:11" ht="15.75" customHeight="1" x14ac:dyDescent="0.15">
      <c r="A45" s="2" t="s">
        <v>512</v>
      </c>
      <c r="B45" s="14" t="s">
        <v>1800</v>
      </c>
      <c r="C45" s="14" t="s">
        <v>1695</v>
      </c>
      <c r="D45" s="14" t="str">
        <f t="shared" si="2"/>
        <v>What is the 9th letter of the word \"maalindugan\"?</v>
      </c>
      <c r="E45" s="14" t="str">
        <f t="shared" si="3"/>
        <v>Ano ang ika-9 na titik ng salitang \"maalindugan\"?</v>
      </c>
      <c r="F45" s="14" t="s">
        <v>1829</v>
      </c>
      <c r="G45" s="14" t="s">
        <v>1903</v>
      </c>
      <c r="H45" s="14"/>
      <c r="I45" s="14" t="s">
        <v>1904</v>
      </c>
      <c r="J45" s="14" t="s">
        <v>1824</v>
      </c>
      <c r="K45" s="15">
        <v>9</v>
      </c>
    </row>
    <row r="46" spans="1:11" ht="15.75" customHeight="1" x14ac:dyDescent="0.15">
      <c r="A46" s="2" t="s">
        <v>512</v>
      </c>
      <c r="B46" s="14" t="s">
        <v>1800</v>
      </c>
      <c r="C46" s="14" t="s">
        <v>1695</v>
      </c>
      <c r="D46" s="14" t="str">
        <f t="shared" si="2"/>
        <v>What is the 7th letter of the word \"naguguwapuhan\"?</v>
      </c>
      <c r="E46" s="14" t="str">
        <f t="shared" si="3"/>
        <v>Ano ang ika-7 na titik ng salitang \"naguguwapuhan\"?</v>
      </c>
      <c r="F46" s="14" t="s">
        <v>1905</v>
      </c>
      <c r="G46" s="14" t="s">
        <v>1906</v>
      </c>
      <c r="H46" s="14"/>
      <c r="I46" s="14" t="s">
        <v>1907</v>
      </c>
      <c r="J46" s="14" t="s">
        <v>1817</v>
      </c>
      <c r="K46" s="15">
        <v>7</v>
      </c>
    </row>
    <row r="47" spans="1:11" ht="15.75" customHeight="1" x14ac:dyDescent="0.15">
      <c r="A47" s="2" t="s">
        <v>512</v>
      </c>
      <c r="B47" s="14" t="s">
        <v>1800</v>
      </c>
      <c r="C47" s="14" t="s">
        <v>1695</v>
      </c>
      <c r="D47" s="14" t="str">
        <f t="shared" si="2"/>
        <v>What is the 5th letter of the word \"pagkatakaw\"?</v>
      </c>
      <c r="E47" s="14" t="str">
        <f t="shared" si="3"/>
        <v>Ano ang ika-5 na titik ng salitang \"pagkatakaw\"?</v>
      </c>
      <c r="F47" s="14" t="s">
        <v>1810</v>
      </c>
      <c r="G47" s="14" t="s">
        <v>1908</v>
      </c>
      <c r="H47" s="14"/>
      <c r="I47" s="14" t="s">
        <v>1909</v>
      </c>
      <c r="J47" s="14" t="s">
        <v>1845</v>
      </c>
      <c r="K47" s="15">
        <v>5</v>
      </c>
    </row>
    <row r="48" spans="1:11" ht="15.75" customHeight="1" x14ac:dyDescent="0.15">
      <c r="A48" s="2" t="s">
        <v>512</v>
      </c>
      <c r="B48" s="14" t="s">
        <v>1800</v>
      </c>
      <c r="C48" s="14" t="s">
        <v>1695</v>
      </c>
      <c r="D48" s="14" t="str">
        <f t="shared" si="2"/>
        <v>What is the 1st letter of the word \"nagselan\"?</v>
      </c>
      <c r="E48" s="14" t="str">
        <f t="shared" si="3"/>
        <v>Ano ang ika-1 na titik ng salitang \"nagselan\"?</v>
      </c>
      <c r="F48" s="14" t="s">
        <v>1821</v>
      </c>
      <c r="G48" s="14" t="s">
        <v>1910</v>
      </c>
      <c r="H48" s="14"/>
      <c r="I48" s="14" t="s">
        <v>1911</v>
      </c>
      <c r="J48" s="14" t="s">
        <v>1809</v>
      </c>
      <c r="K48" s="15">
        <v>1</v>
      </c>
    </row>
    <row r="49" spans="1:11" ht="15.75" customHeight="1" x14ac:dyDescent="0.15">
      <c r="A49" s="2" t="s">
        <v>512</v>
      </c>
      <c r="B49" s="14" t="s">
        <v>1800</v>
      </c>
      <c r="C49" s="14" t="s">
        <v>1695</v>
      </c>
      <c r="D49" s="14" t="str">
        <f t="shared" si="2"/>
        <v>What is the 4th letter of the word \"makarami\"?</v>
      </c>
      <c r="E49" s="14" t="str">
        <f t="shared" si="3"/>
        <v>Ano ang ika-4 na titik ng salitang \"makarami\"?</v>
      </c>
      <c r="F49" s="14" t="s">
        <v>1810</v>
      </c>
      <c r="G49" s="14" t="s">
        <v>1912</v>
      </c>
      <c r="H49" s="14"/>
      <c r="I49" s="14" t="s">
        <v>1913</v>
      </c>
      <c r="J49" s="14" t="s">
        <v>1842</v>
      </c>
      <c r="K49" s="15">
        <v>4</v>
      </c>
    </row>
    <row r="50" spans="1:11" ht="15.75" customHeight="1" x14ac:dyDescent="0.15">
      <c r="A50" s="2" t="s">
        <v>512</v>
      </c>
      <c r="B50" s="14" t="s">
        <v>1800</v>
      </c>
      <c r="C50" s="14" t="s">
        <v>1695</v>
      </c>
      <c r="D50" s="14" t="str">
        <f t="shared" si="2"/>
        <v>What is the 6th letter of the word \"giginhawa\"?</v>
      </c>
      <c r="E50" s="14" t="str">
        <f t="shared" si="3"/>
        <v>Ano ang ika-6 na titik ng salitang \"giginhawa\"?</v>
      </c>
      <c r="F50" s="14" t="s">
        <v>1861</v>
      </c>
      <c r="G50" s="14" t="s">
        <v>1914</v>
      </c>
      <c r="H50" s="14"/>
      <c r="I50" s="14" t="s">
        <v>1915</v>
      </c>
      <c r="J50" s="14" t="s">
        <v>1806</v>
      </c>
      <c r="K50" s="15">
        <v>6</v>
      </c>
    </row>
    <row r="51" spans="1:11" ht="15.75" customHeight="1" x14ac:dyDescent="0.15">
      <c r="A51" s="2" t="s">
        <v>512</v>
      </c>
      <c r="B51" s="14" t="s">
        <v>1800</v>
      </c>
      <c r="C51" s="14" t="s">
        <v>1695</v>
      </c>
      <c r="D51" s="14" t="str">
        <f t="shared" si="2"/>
        <v>What is the 6th letter of the word \"hardin\"?</v>
      </c>
      <c r="E51" s="14" t="str">
        <f t="shared" si="3"/>
        <v>Ano ang ika-6 na titik ng salitang \"hardin\"?</v>
      </c>
      <c r="F51" s="14" t="s">
        <v>1821</v>
      </c>
      <c r="G51" s="14" t="s">
        <v>1916</v>
      </c>
      <c r="H51" s="14"/>
      <c r="I51" s="14" t="s">
        <v>1917</v>
      </c>
      <c r="J51" s="2" t="s">
        <v>1806</v>
      </c>
      <c r="K51" s="2">
        <v>6</v>
      </c>
    </row>
    <row r="52" spans="1:11" ht="15.75" customHeight="1" x14ac:dyDescent="0.15">
      <c r="A52" s="2" t="s">
        <v>512</v>
      </c>
      <c r="B52" s="14" t="s">
        <v>1800</v>
      </c>
      <c r="C52" s="14" t="s">
        <v>1748</v>
      </c>
      <c r="D52" s="14" t="str">
        <f t="shared" si="2"/>
        <v>What is the 5th letter of the word \"galing\"?</v>
      </c>
      <c r="E52" s="14" t="str">
        <f t="shared" si="3"/>
        <v>Ano ang ika-5 na titik ng salitang \"galing\"?</v>
      </c>
      <c r="F52" s="14" t="s">
        <v>521</v>
      </c>
      <c r="G52" s="14" t="s">
        <v>1918</v>
      </c>
      <c r="H52" s="14"/>
      <c r="I52" s="14" t="s">
        <v>1919</v>
      </c>
      <c r="J52" s="14" t="str">
        <f t="shared" ref="J52:J66" si="4">K52&amp;"th"</f>
        <v>5th</v>
      </c>
      <c r="K52" s="14">
        <v>5</v>
      </c>
    </row>
    <row r="53" spans="1:11" ht="15.75" customHeight="1" x14ac:dyDescent="0.15">
      <c r="A53" s="2" t="s">
        <v>512</v>
      </c>
      <c r="B53" s="14" t="s">
        <v>1800</v>
      </c>
      <c r="C53" s="14" t="s">
        <v>1748</v>
      </c>
      <c r="D53" s="14" t="str">
        <f t="shared" si="2"/>
        <v>What is the 5th letter of the word \"bilang\"?</v>
      </c>
      <c r="E53" s="14" t="str">
        <f t="shared" si="3"/>
        <v>Ano ang ika-5 na titik ng salitang \"bilang\"?</v>
      </c>
      <c r="F53" s="14" t="s">
        <v>521</v>
      </c>
      <c r="G53" s="14" t="s">
        <v>1920</v>
      </c>
      <c r="H53" s="14"/>
      <c r="I53" s="14" t="s">
        <v>1776</v>
      </c>
      <c r="J53" s="14" t="str">
        <f t="shared" si="4"/>
        <v>5th</v>
      </c>
      <c r="K53" s="14">
        <v>5</v>
      </c>
    </row>
    <row r="54" spans="1:11" ht="15.75" customHeight="1" x14ac:dyDescent="0.15">
      <c r="A54" s="2" t="s">
        <v>512</v>
      </c>
      <c r="B54" s="14" t="s">
        <v>1800</v>
      </c>
      <c r="C54" s="14" t="s">
        <v>1748</v>
      </c>
      <c r="D54" s="14" t="str">
        <f t="shared" si="2"/>
        <v>What is the 5th letter of the word \"galing\"?</v>
      </c>
      <c r="E54" s="14" t="str">
        <f t="shared" si="3"/>
        <v>Ano ang ika-5 na titik ng salitang \"galing\"?</v>
      </c>
      <c r="F54" s="14" t="s">
        <v>521</v>
      </c>
      <c r="G54" s="14" t="s">
        <v>1921</v>
      </c>
      <c r="H54" s="14"/>
      <c r="I54" s="14" t="s">
        <v>1919</v>
      </c>
      <c r="J54" s="14" t="str">
        <f t="shared" si="4"/>
        <v>5th</v>
      </c>
      <c r="K54" s="14">
        <v>5</v>
      </c>
    </row>
    <row r="55" spans="1:11" ht="15.75" customHeight="1" x14ac:dyDescent="0.15">
      <c r="A55" s="2" t="s">
        <v>512</v>
      </c>
      <c r="B55" s="14" t="s">
        <v>1800</v>
      </c>
      <c r="C55" s="14" t="s">
        <v>1748</v>
      </c>
      <c r="D55" s="14" t="str">
        <f t="shared" si="2"/>
        <v>What is the 6th letter of the word \"kanyang\"?</v>
      </c>
      <c r="E55" s="14" t="str">
        <f t="shared" si="3"/>
        <v>Ano ang ika-6 na titik ng salitang \"kanyang\"?</v>
      </c>
      <c r="F55" s="14" t="s">
        <v>521</v>
      </c>
      <c r="G55" s="14" t="s">
        <v>1922</v>
      </c>
      <c r="H55" s="14"/>
      <c r="I55" s="14" t="s">
        <v>1923</v>
      </c>
      <c r="J55" s="14" t="str">
        <f t="shared" si="4"/>
        <v>6th</v>
      </c>
      <c r="K55" s="14">
        <v>6</v>
      </c>
    </row>
    <row r="56" spans="1:11" ht="15.75" customHeight="1" x14ac:dyDescent="0.15">
      <c r="A56" s="2" t="s">
        <v>512</v>
      </c>
      <c r="B56" s="14" t="s">
        <v>1800</v>
      </c>
      <c r="C56" s="14" t="s">
        <v>1748</v>
      </c>
      <c r="D56" s="14" t="str">
        <f t="shared" si="2"/>
        <v>What is the 4th letter of the word \"bunga\"?</v>
      </c>
      <c r="E56" s="14" t="str">
        <f t="shared" si="3"/>
        <v>Ano ang ika-4 na titik ng salitang \"bunga\"?</v>
      </c>
      <c r="F56" s="14" t="s">
        <v>1810</v>
      </c>
      <c r="G56" s="14" t="s">
        <v>1924</v>
      </c>
      <c r="H56" s="14"/>
      <c r="I56" s="14" t="s">
        <v>1925</v>
      </c>
      <c r="J56" s="14" t="str">
        <f t="shared" si="4"/>
        <v>4th</v>
      </c>
      <c r="K56" s="14">
        <v>4</v>
      </c>
    </row>
    <row r="57" spans="1:11" ht="15.75" customHeight="1" x14ac:dyDescent="0.15">
      <c r="A57" s="2" t="s">
        <v>512</v>
      </c>
      <c r="B57" s="14" t="s">
        <v>1800</v>
      </c>
      <c r="C57" s="14" t="s">
        <v>1748</v>
      </c>
      <c r="D57" s="14" t="str">
        <f t="shared" si="2"/>
        <v>What is the 6th letter of the word \"tungkol\"?</v>
      </c>
      <c r="E57" s="14" t="str">
        <f t="shared" si="3"/>
        <v>Ano ang ika-6 na titik ng salitang \"tungkol\"?</v>
      </c>
      <c r="F57" s="14" t="s">
        <v>1839</v>
      </c>
      <c r="G57" s="14" t="s">
        <v>1926</v>
      </c>
      <c r="H57" s="14"/>
      <c r="I57" s="14" t="s">
        <v>1927</v>
      </c>
      <c r="J57" s="14" t="str">
        <f t="shared" si="4"/>
        <v>6th</v>
      </c>
      <c r="K57" s="14">
        <v>6</v>
      </c>
    </row>
    <row r="58" spans="1:11" ht="15.75" customHeight="1" x14ac:dyDescent="0.15">
      <c r="A58" s="2" t="s">
        <v>512</v>
      </c>
      <c r="B58" s="14" t="s">
        <v>1800</v>
      </c>
      <c r="C58" s="14" t="s">
        <v>1748</v>
      </c>
      <c r="D58" s="14" t="str">
        <f t="shared" si="2"/>
        <v>What is the 4th letter of the word \"taong\"?</v>
      </c>
      <c r="E58" s="14" t="str">
        <f t="shared" si="3"/>
        <v>Ano ang ika-4 na titik ng salitang \"taong\"?</v>
      </c>
      <c r="F58" s="14" t="s">
        <v>521</v>
      </c>
      <c r="G58" s="14" t="s">
        <v>1928</v>
      </c>
      <c r="H58" s="14"/>
      <c r="I58" s="14" t="s">
        <v>1929</v>
      </c>
      <c r="J58" s="14" t="str">
        <f t="shared" si="4"/>
        <v>4th</v>
      </c>
      <c r="K58" s="14">
        <v>4</v>
      </c>
    </row>
    <row r="59" spans="1:11" ht="15.75" customHeight="1" x14ac:dyDescent="0.15">
      <c r="A59" s="2" t="s">
        <v>512</v>
      </c>
      <c r="B59" s="14" t="s">
        <v>1800</v>
      </c>
      <c r="C59" s="14" t="s">
        <v>1748</v>
      </c>
      <c r="D59" s="14" t="str">
        <f t="shared" si="2"/>
        <v>What is the 5th letter of the word \"bilang\"?</v>
      </c>
      <c r="E59" s="14" t="str">
        <f t="shared" si="3"/>
        <v>Ano ang ika-5 na titik ng salitang \"bilang\"?</v>
      </c>
      <c r="F59" s="14" t="s">
        <v>521</v>
      </c>
      <c r="G59" s="14" t="s">
        <v>1930</v>
      </c>
      <c r="H59" s="14"/>
      <c r="I59" s="14" t="s">
        <v>1776</v>
      </c>
      <c r="J59" s="14" t="str">
        <f t="shared" si="4"/>
        <v>5th</v>
      </c>
      <c r="K59" s="14">
        <v>5</v>
      </c>
    </row>
    <row r="60" spans="1:11" ht="15.75" customHeight="1" x14ac:dyDescent="0.15">
      <c r="A60" s="2" t="s">
        <v>512</v>
      </c>
      <c r="B60" s="14" t="s">
        <v>1800</v>
      </c>
      <c r="C60" s="14" t="s">
        <v>1748</v>
      </c>
      <c r="D60" s="14" t="str">
        <f t="shared" ref="D60:D91" si="5">"What is the " &amp; J60 &amp; " letter of the word " &amp; "\" &amp; """" &amp;I60  &amp; "\" &amp; """" &amp; "?"</f>
        <v>What is the 5th letter of the word \"bilang\"?</v>
      </c>
      <c r="E60" s="14" t="str">
        <f t="shared" ref="E60:E91" si="6">"Ano ang ika-" &amp;  K60&amp; " na titik ng salitang "  &amp; "\" &amp; """" &amp;I60  &amp; "\" &amp; """" &amp; "?"</f>
        <v>Ano ang ika-5 na titik ng salitang \"bilang\"?</v>
      </c>
      <c r="F60" s="14" t="s">
        <v>521</v>
      </c>
      <c r="G60" s="14" t="s">
        <v>1931</v>
      </c>
      <c r="H60" s="14"/>
      <c r="I60" s="14" t="s">
        <v>1776</v>
      </c>
      <c r="J60" s="14" t="str">
        <f t="shared" si="4"/>
        <v>5th</v>
      </c>
      <c r="K60" s="14">
        <v>5</v>
      </c>
    </row>
    <row r="61" spans="1:11" ht="15.75" customHeight="1" x14ac:dyDescent="0.15">
      <c r="A61" s="2" t="s">
        <v>512</v>
      </c>
      <c r="B61" s="14" t="s">
        <v>1800</v>
      </c>
      <c r="C61" s="14" t="s">
        <v>1748</v>
      </c>
      <c r="D61" s="14" t="str">
        <f t="shared" si="5"/>
        <v>What is the 4th letter of the word \"upang\"?</v>
      </c>
      <c r="E61" s="14" t="str">
        <f t="shared" si="6"/>
        <v>Ano ang ika-4 na titik ng salitang \"upang\"?</v>
      </c>
      <c r="F61" s="14" t="s">
        <v>521</v>
      </c>
      <c r="G61" s="14" t="s">
        <v>1932</v>
      </c>
      <c r="H61" s="14"/>
      <c r="I61" s="14" t="s">
        <v>1933</v>
      </c>
      <c r="J61" s="14" t="str">
        <f t="shared" si="4"/>
        <v>4th</v>
      </c>
      <c r="K61" s="14">
        <v>4</v>
      </c>
    </row>
    <row r="62" spans="1:11" ht="15.75" customHeight="1" x14ac:dyDescent="0.15">
      <c r="A62" s="2" t="s">
        <v>512</v>
      </c>
      <c r="B62" s="14" t="s">
        <v>1800</v>
      </c>
      <c r="C62" s="14" t="s">
        <v>1748</v>
      </c>
      <c r="D62" s="14" t="str">
        <f t="shared" si="5"/>
        <v>What is the 4th letter of the word \"ilang\"?</v>
      </c>
      <c r="E62" s="14" t="str">
        <f t="shared" si="6"/>
        <v>Ano ang ika-4 na titik ng salitang \"ilang\"?</v>
      </c>
      <c r="F62" s="14" t="s">
        <v>521</v>
      </c>
      <c r="G62" s="14" t="s">
        <v>1934</v>
      </c>
      <c r="H62" s="14"/>
      <c r="I62" s="14" t="s">
        <v>1784</v>
      </c>
      <c r="J62" s="14" t="str">
        <f t="shared" si="4"/>
        <v>4th</v>
      </c>
      <c r="K62" s="14">
        <v>4</v>
      </c>
    </row>
    <row r="63" spans="1:11" ht="15.75" customHeight="1" x14ac:dyDescent="0.15">
      <c r="A63" s="2" t="s">
        <v>512</v>
      </c>
      <c r="B63" s="14" t="s">
        <v>1800</v>
      </c>
      <c r="C63" s="14" t="s">
        <v>1748</v>
      </c>
      <c r="D63" s="14" t="str">
        <f t="shared" si="5"/>
        <v>What is the 4th letter of the word \"tulong\"?</v>
      </c>
      <c r="E63" s="14" t="str">
        <f t="shared" si="6"/>
        <v>Ano ang ika-4 na titik ng salitang \"tulong\"?</v>
      </c>
      <c r="F63" s="14" t="s">
        <v>549</v>
      </c>
      <c r="G63" s="14" t="s">
        <v>1935</v>
      </c>
      <c r="H63" s="14"/>
      <c r="I63" s="14" t="s">
        <v>423</v>
      </c>
      <c r="J63" s="14" t="str">
        <f t="shared" si="4"/>
        <v>4th</v>
      </c>
      <c r="K63" s="14">
        <v>4</v>
      </c>
    </row>
    <row r="64" spans="1:11" ht="15.75" customHeight="1" x14ac:dyDescent="0.15">
      <c r="A64" s="2" t="s">
        <v>512</v>
      </c>
      <c r="B64" s="14" t="s">
        <v>1800</v>
      </c>
      <c r="C64" s="14" t="s">
        <v>1748</v>
      </c>
      <c r="D64" s="14" t="str">
        <f t="shared" si="5"/>
        <v>What is the 7th letter of the word \"nagiging\"?</v>
      </c>
      <c r="E64" s="14" t="str">
        <f t="shared" si="6"/>
        <v>Ano ang ika-7 na titik ng salitang \"nagiging\"?</v>
      </c>
      <c r="F64" s="14" t="s">
        <v>521</v>
      </c>
      <c r="G64" s="14" t="s">
        <v>1936</v>
      </c>
      <c r="H64" s="14"/>
      <c r="I64" s="14" t="s">
        <v>1937</v>
      </c>
      <c r="J64" s="14" t="str">
        <f t="shared" si="4"/>
        <v>7th</v>
      </c>
      <c r="K64" s="14">
        <v>7</v>
      </c>
    </row>
    <row r="65" spans="1:11" ht="15.75" customHeight="1" x14ac:dyDescent="0.15">
      <c r="A65" s="2" t="s">
        <v>512</v>
      </c>
      <c r="B65" s="14" t="s">
        <v>1800</v>
      </c>
      <c r="C65" s="14" t="s">
        <v>1748</v>
      </c>
      <c r="D65" s="14" t="str">
        <f t="shared" si="5"/>
        <v>What is the 4th letter of the word \"taong\"?</v>
      </c>
      <c r="E65" s="14" t="str">
        <f t="shared" si="6"/>
        <v>Ano ang ika-4 na titik ng salitang \"taong\"?</v>
      </c>
      <c r="F65" s="14" t="s">
        <v>521</v>
      </c>
      <c r="G65" s="14" t="s">
        <v>1938</v>
      </c>
      <c r="H65" s="14"/>
      <c r="I65" s="14" t="s">
        <v>1929</v>
      </c>
      <c r="J65" s="14" t="str">
        <f t="shared" si="4"/>
        <v>4th</v>
      </c>
      <c r="K65" s="14">
        <v>4</v>
      </c>
    </row>
    <row r="66" spans="1:11" ht="15.75" customHeight="1" x14ac:dyDescent="0.15">
      <c r="A66" s="2" t="s">
        <v>512</v>
      </c>
      <c r="B66" s="14" t="s">
        <v>1800</v>
      </c>
      <c r="C66" s="14" t="s">
        <v>1748</v>
      </c>
      <c r="D66" s="14" t="str">
        <f t="shared" si="5"/>
        <v>What is the 5th letter of the word \"muling\"?</v>
      </c>
      <c r="E66" s="14" t="str">
        <f t="shared" si="6"/>
        <v>Ano ang ika-5 na titik ng salitang \"muling\"?</v>
      </c>
      <c r="F66" s="14" t="s">
        <v>521</v>
      </c>
      <c r="G66" s="14" t="s">
        <v>1939</v>
      </c>
      <c r="H66" s="14"/>
      <c r="I66" s="14" t="s">
        <v>1940</v>
      </c>
      <c r="J66" s="14" t="str">
        <f t="shared" si="4"/>
        <v>5th</v>
      </c>
      <c r="K66" s="14">
        <v>5</v>
      </c>
    </row>
    <row r="67" spans="1:11" ht="15.75" customHeight="1" x14ac:dyDescent="0.15">
      <c r="A67" s="2" t="s">
        <v>512</v>
      </c>
      <c r="B67" s="14" t="s">
        <v>1800</v>
      </c>
      <c r="C67" s="14" t="s">
        <v>1748</v>
      </c>
      <c r="D67" s="14" t="str">
        <f t="shared" si="5"/>
        <v>What is the 2nd letter of the word \"bilang\"?</v>
      </c>
      <c r="E67" s="14" t="str">
        <f t="shared" si="6"/>
        <v>Ano ang ika-2 na titik ng salitang \"bilang\"?</v>
      </c>
      <c r="F67" s="14" t="s">
        <v>1803</v>
      </c>
      <c r="G67" s="14" t="s">
        <v>1941</v>
      </c>
      <c r="H67" s="14"/>
      <c r="I67" s="14" t="s">
        <v>1776</v>
      </c>
      <c r="J67" s="14" t="s">
        <v>1813</v>
      </c>
      <c r="K67" s="14">
        <v>2</v>
      </c>
    </row>
    <row r="68" spans="1:11" ht="13" x14ac:dyDescent="0.15">
      <c r="A68" s="2" t="s">
        <v>512</v>
      </c>
      <c r="B68" s="14" t="s">
        <v>1800</v>
      </c>
      <c r="C68" s="14" t="s">
        <v>1748</v>
      </c>
      <c r="D68" s="14" t="str">
        <f t="shared" si="5"/>
        <v>What is the 6th letter of the word \"sangkap\"?</v>
      </c>
      <c r="E68" s="14" t="str">
        <f t="shared" si="6"/>
        <v>Ano ang ika-6 na titik ng salitang \"sangkap\"?</v>
      </c>
      <c r="F68" s="14" t="s">
        <v>1825</v>
      </c>
      <c r="G68" s="14" t="s">
        <v>1942</v>
      </c>
      <c r="H68" s="14"/>
      <c r="I68" s="14" t="s">
        <v>1943</v>
      </c>
      <c r="J68" s="14" t="str">
        <f t="shared" ref="J68:J79" si="7">K68&amp;"th"</f>
        <v>6th</v>
      </c>
      <c r="K68" s="14">
        <v>6</v>
      </c>
    </row>
    <row r="69" spans="1:11" ht="13" x14ac:dyDescent="0.15">
      <c r="A69" s="2" t="s">
        <v>512</v>
      </c>
      <c r="B69" s="14" t="s">
        <v>1800</v>
      </c>
      <c r="C69" s="14" t="s">
        <v>1748</v>
      </c>
      <c r="D69" s="14" t="str">
        <f t="shared" si="5"/>
        <v>What is the 5th letter of the word \"habang\"?</v>
      </c>
      <c r="E69" s="14" t="str">
        <f t="shared" si="6"/>
        <v>Ano ang ika-5 na titik ng salitang \"habang\"?</v>
      </c>
      <c r="F69" s="14" t="s">
        <v>521</v>
      </c>
      <c r="G69" s="14" t="s">
        <v>1944</v>
      </c>
      <c r="H69" s="14"/>
      <c r="I69" s="14" t="s">
        <v>1795</v>
      </c>
      <c r="J69" s="14" t="str">
        <f t="shared" si="7"/>
        <v>5th</v>
      </c>
      <c r="K69" s="14">
        <v>5</v>
      </c>
    </row>
    <row r="70" spans="1:11" ht="13" x14ac:dyDescent="0.15">
      <c r="A70" s="2" t="s">
        <v>512</v>
      </c>
      <c r="B70" s="14" t="s">
        <v>1800</v>
      </c>
      <c r="C70" s="14" t="s">
        <v>1748</v>
      </c>
      <c r="D70" s="14" t="str">
        <f t="shared" si="5"/>
        <v>What is the 4th letter of the word \"takdang\"?</v>
      </c>
      <c r="E70" s="14" t="str">
        <f t="shared" si="6"/>
        <v>Ano ang ika-4 na titik ng salitang \"takdang\"?</v>
      </c>
      <c r="F70" s="14" t="s">
        <v>1878</v>
      </c>
      <c r="G70" s="14" t="s">
        <v>1945</v>
      </c>
      <c r="H70" s="14"/>
      <c r="I70" s="14" t="s">
        <v>1946</v>
      </c>
      <c r="J70" s="14" t="str">
        <f t="shared" si="7"/>
        <v>4th</v>
      </c>
      <c r="K70" s="14">
        <v>4</v>
      </c>
    </row>
    <row r="71" spans="1:11" ht="13" x14ac:dyDescent="0.15">
      <c r="A71" s="2" t="s">
        <v>512</v>
      </c>
      <c r="B71" s="14" t="s">
        <v>1800</v>
      </c>
      <c r="C71" s="14" t="s">
        <v>1748</v>
      </c>
      <c r="D71" s="14" t="str">
        <f t="shared" si="5"/>
        <v>What is the 5th letter of the word \"siyang\"?</v>
      </c>
      <c r="E71" s="14" t="str">
        <f t="shared" si="6"/>
        <v>Ano ang ika-5 na titik ng salitang \"siyang\"?</v>
      </c>
      <c r="F71" s="14" t="s">
        <v>521</v>
      </c>
      <c r="G71" s="14" t="s">
        <v>1947</v>
      </c>
      <c r="H71" s="14"/>
      <c r="I71" s="14" t="s">
        <v>1948</v>
      </c>
      <c r="J71" s="14" t="str">
        <f t="shared" si="7"/>
        <v>5th</v>
      </c>
      <c r="K71" s="14">
        <v>5</v>
      </c>
    </row>
    <row r="72" spans="1:11" ht="13" x14ac:dyDescent="0.15">
      <c r="A72" s="2" t="s">
        <v>512</v>
      </c>
      <c r="B72" s="14" t="s">
        <v>1800</v>
      </c>
      <c r="C72" s="14" t="s">
        <v>1748</v>
      </c>
      <c r="D72" s="14" t="str">
        <f t="shared" si="5"/>
        <v>What is the 5th letter of the word \"silang\"?</v>
      </c>
      <c r="E72" s="14" t="str">
        <f t="shared" si="6"/>
        <v>Ano ang ika-5 na titik ng salitang \"silang\"?</v>
      </c>
      <c r="F72" s="14" t="s">
        <v>521</v>
      </c>
      <c r="G72" s="14" t="s">
        <v>1949</v>
      </c>
      <c r="H72" s="14"/>
      <c r="I72" s="14" t="s">
        <v>1950</v>
      </c>
      <c r="J72" s="14" t="str">
        <f t="shared" si="7"/>
        <v>5th</v>
      </c>
      <c r="K72" s="14">
        <v>5</v>
      </c>
    </row>
    <row r="73" spans="1:11" ht="13" x14ac:dyDescent="0.15">
      <c r="A73" s="2" t="s">
        <v>512</v>
      </c>
      <c r="B73" s="14" t="s">
        <v>1800</v>
      </c>
      <c r="C73" s="14" t="s">
        <v>1748</v>
      </c>
      <c r="D73" s="14" t="str">
        <f t="shared" si="5"/>
        <v>What is the 4th letter of the word \"tangway\"?</v>
      </c>
      <c r="E73" s="14" t="str">
        <f t="shared" si="6"/>
        <v>Ano ang ika-4 na titik ng salitang \"tangway\"?</v>
      </c>
      <c r="F73" s="14" t="s">
        <v>1905</v>
      </c>
      <c r="G73" s="14" t="s">
        <v>1951</v>
      </c>
      <c r="H73" s="14"/>
      <c r="I73" s="14" t="s">
        <v>1952</v>
      </c>
      <c r="J73" s="14" t="str">
        <f t="shared" si="7"/>
        <v>4th</v>
      </c>
      <c r="K73" s="14">
        <v>4</v>
      </c>
    </row>
    <row r="74" spans="1:11" ht="13" x14ac:dyDescent="0.15">
      <c r="A74" s="2" t="s">
        <v>512</v>
      </c>
      <c r="B74" s="14" t="s">
        <v>1800</v>
      </c>
      <c r="C74" s="14" t="s">
        <v>1748</v>
      </c>
      <c r="D74" s="14" t="str">
        <f t="shared" si="5"/>
        <v>What is the 4th letter of the word \"batang\"?</v>
      </c>
      <c r="E74" s="14" t="str">
        <f t="shared" si="6"/>
        <v>Ano ang ika-4 na titik ng salitang \"batang\"?</v>
      </c>
      <c r="F74" s="14" t="s">
        <v>1810</v>
      </c>
      <c r="G74" s="14" t="s">
        <v>1953</v>
      </c>
      <c r="H74" s="14"/>
      <c r="I74" s="14" t="s">
        <v>1954</v>
      </c>
      <c r="J74" s="14" t="str">
        <f t="shared" si="7"/>
        <v>4th</v>
      </c>
      <c r="K74" s="14">
        <v>4</v>
      </c>
    </row>
    <row r="75" spans="1:11" ht="13" x14ac:dyDescent="0.15">
      <c r="A75" s="2" t="s">
        <v>512</v>
      </c>
      <c r="B75" s="14" t="s">
        <v>1800</v>
      </c>
      <c r="C75" s="14" t="s">
        <v>1748</v>
      </c>
      <c r="D75" s="14" t="str">
        <f t="shared" si="5"/>
        <v>What is the 4th letter of the word \"unang\"?</v>
      </c>
      <c r="E75" s="14" t="str">
        <f t="shared" si="6"/>
        <v>Ano ang ika-4 na titik ng salitang \"unang\"?</v>
      </c>
      <c r="F75" s="14" t="s">
        <v>521</v>
      </c>
      <c r="G75" s="14" t="s">
        <v>1955</v>
      </c>
      <c r="H75" s="14"/>
      <c r="I75" s="14" t="s">
        <v>1956</v>
      </c>
      <c r="J75" s="14" t="str">
        <f t="shared" si="7"/>
        <v>4th</v>
      </c>
      <c r="K75" s="14">
        <v>4</v>
      </c>
    </row>
    <row r="76" spans="1:11" ht="13" x14ac:dyDescent="0.15">
      <c r="A76" s="2" t="s">
        <v>512</v>
      </c>
      <c r="B76" s="14" t="s">
        <v>1800</v>
      </c>
      <c r="C76" s="14" t="s">
        <v>1748</v>
      </c>
      <c r="D76" s="14" t="str">
        <f t="shared" si="5"/>
        <v>What is the 5th letter of the word \"Ilonggo\"?</v>
      </c>
      <c r="E76" s="14" t="str">
        <f t="shared" si="6"/>
        <v>Ano ang ika-5 na titik ng salitang \"Ilonggo\"?</v>
      </c>
      <c r="F76" s="14" t="s">
        <v>1829</v>
      </c>
      <c r="G76" s="14" t="s">
        <v>1957</v>
      </c>
      <c r="H76" s="14"/>
      <c r="I76" s="14" t="s">
        <v>1958</v>
      </c>
      <c r="J76" s="14" t="str">
        <f t="shared" si="7"/>
        <v>5th</v>
      </c>
      <c r="K76" s="14">
        <v>5</v>
      </c>
    </row>
    <row r="77" spans="1:11" ht="13" x14ac:dyDescent="0.15">
      <c r="A77" s="2" t="s">
        <v>512</v>
      </c>
      <c r="B77" s="14" t="s">
        <v>1800</v>
      </c>
      <c r="C77" s="14" t="s">
        <v>1748</v>
      </c>
      <c r="D77" s="14" t="str">
        <f t="shared" si="5"/>
        <v>What is the 5th letter of the word \"tungkol\"?</v>
      </c>
      <c r="E77" s="14" t="str">
        <f t="shared" si="6"/>
        <v>Ano ang ika-5 na titik ng salitang \"tungkol\"?</v>
      </c>
      <c r="F77" s="14" t="s">
        <v>549</v>
      </c>
      <c r="G77" s="14" t="s">
        <v>1959</v>
      </c>
      <c r="H77" s="14"/>
      <c r="I77" s="14" t="s">
        <v>1927</v>
      </c>
      <c r="J77" s="14" t="str">
        <f t="shared" si="7"/>
        <v>5th</v>
      </c>
      <c r="K77" s="14">
        <v>5</v>
      </c>
    </row>
    <row r="78" spans="1:11" ht="13" x14ac:dyDescent="0.15">
      <c r="A78" s="2" t="s">
        <v>512</v>
      </c>
      <c r="B78" s="14" t="s">
        <v>1800</v>
      </c>
      <c r="C78" s="14" t="s">
        <v>1748</v>
      </c>
      <c r="D78" s="14" t="str">
        <f t="shared" si="5"/>
        <v>What is the 5th letter of the word \"lamang\"?</v>
      </c>
      <c r="E78" s="14" t="str">
        <f t="shared" si="6"/>
        <v>Ano ang ika-5 na titik ng salitang \"lamang\"?</v>
      </c>
      <c r="F78" s="14" t="s">
        <v>521</v>
      </c>
      <c r="G78" s="14" t="s">
        <v>1960</v>
      </c>
      <c r="H78" s="14"/>
      <c r="I78" s="14" t="s">
        <v>97</v>
      </c>
      <c r="J78" s="14" t="str">
        <f t="shared" si="7"/>
        <v>5th</v>
      </c>
      <c r="K78" s="14">
        <v>5</v>
      </c>
    </row>
    <row r="79" spans="1:11" ht="13" x14ac:dyDescent="0.15">
      <c r="A79" s="2" t="s">
        <v>512</v>
      </c>
      <c r="B79" s="14" t="s">
        <v>1800</v>
      </c>
      <c r="C79" s="14" t="s">
        <v>1748</v>
      </c>
      <c r="D79" s="14" t="str">
        <f t="shared" si="5"/>
        <v>What is the 4th letter of the word \"pangulag\"?</v>
      </c>
      <c r="E79" s="14" t="str">
        <f t="shared" si="6"/>
        <v>Ano ang ika-4 na titik ng salitang \"pangulag\"?</v>
      </c>
      <c r="F79" s="14" t="s">
        <v>1818</v>
      </c>
      <c r="G79" s="14" t="s">
        <v>1961</v>
      </c>
      <c r="H79" s="14"/>
      <c r="I79" s="14" t="s">
        <v>1962</v>
      </c>
      <c r="J79" s="14" t="str">
        <f t="shared" si="7"/>
        <v>4th</v>
      </c>
      <c r="K79" s="14">
        <v>4</v>
      </c>
    </row>
    <row r="80" spans="1:11" ht="13" x14ac:dyDescent="0.15">
      <c r="A80" s="2" t="s">
        <v>512</v>
      </c>
      <c r="B80" s="14" t="s">
        <v>1800</v>
      </c>
      <c r="C80" s="14" t="s">
        <v>1748</v>
      </c>
      <c r="D80" s="14" t="str">
        <f t="shared" si="5"/>
        <v>What is the 2nd letter of the word \"ulong\"?</v>
      </c>
      <c r="E80" s="14" t="str">
        <f t="shared" si="6"/>
        <v>Ano ang ika-2 na titik ng salitang \"ulong\"?</v>
      </c>
      <c r="F80" s="14" t="s">
        <v>1839</v>
      </c>
      <c r="G80" s="14" t="s">
        <v>1963</v>
      </c>
      <c r="H80" s="14"/>
      <c r="I80" s="14" t="s">
        <v>1964</v>
      </c>
      <c r="J80" s="14" t="s">
        <v>1813</v>
      </c>
      <c r="K80" s="14">
        <v>2</v>
      </c>
    </row>
    <row r="81" spans="1:11" ht="13" x14ac:dyDescent="0.15">
      <c r="A81" s="2" t="s">
        <v>512</v>
      </c>
      <c r="B81" s="14" t="s">
        <v>1800</v>
      </c>
      <c r="C81" s="14" t="s">
        <v>1748</v>
      </c>
      <c r="D81" s="14" t="str">
        <f t="shared" si="5"/>
        <v>What is the 3rd letter of the word \"bangko\"?</v>
      </c>
      <c r="E81" s="14" t="str">
        <f t="shared" si="6"/>
        <v>Ano ang ika-3 na titik ng salitang \"bangko\"?</v>
      </c>
      <c r="F81" s="14" t="s">
        <v>521</v>
      </c>
      <c r="G81" s="14" t="s">
        <v>1965</v>
      </c>
      <c r="H81" s="14"/>
      <c r="I81" s="14" t="s">
        <v>1966</v>
      </c>
      <c r="J81" s="14" t="s">
        <v>1828</v>
      </c>
      <c r="K81" s="14">
        <v>3</v>
      </c>
    </row>
    <row r="82" spans="1:11" ht="13" x14ac:dyDescent="0.15">
      <c r="A82" s="2" t="s">
        <v>512</v>
      </c>
      <c r="B82" s="14" t="s">
        <v>1800</v>
      </c>
      <c r="C82" s="14" t="s">
        <v>1748</v>
      </c>
      <c r="D82" s="14" t="str">
        <f t="shared" si="5"/>
        <v>What is the 3rd letter of the word \"tubong\"?</v>
      </c>
      <c r="E82" s="14" t="str">
        <f t="shared" si="6"/>
        <v>Ano ang ika-3 na titik ng salitang \"tubong\"?</v>
      </c>
      <c r="F82" s="14" t="s">
        <v>1864</v>
      </c>
      <c r="G82" s="14" t="s">
        <v>1967</v>
      </c>
      <c r="H82" s="14"/>
      <c r="I82" s="14" t="s">
        <v>1968</v>
      </c>
      <c r="J82" s="14" t="s">
        <v>1828</v>
      </c>
      <c r="K82" s="14">
        <v>3</v>
      </c>
    </row>
    <row r="83" spans="1:11" ht="13" x14ac:dyDescent="0.15">
      <c r="A83" s="2" t="s">
        <v>512</v>
      </c>
      <c r="B83" s="14" t="s">
        <v>1800</v>
      </c>
      <c r="C83" s="14" t="s">
        <v>1748</v>
      </c>
      <c r="D83" s="14" t="str">
        <f t="shared" si="5"/>
        <v>What is the 5th letter of the word \"kahong\"?</v>
      </c>
      <c r="E83" s="14" t="str">
        <f t="shared" si="6"/>
        <v>Ano ang ika-5 na titik ng salitang \"kahong\"?</v>
      </c>
      <c r="F83" s="14" t="s">
        <v>521</v>
      </c>
      <c r="G83" s="14" t="s">
        <v>1969</v>
      </c>
      <c r="H83" s="14"/>
      <c r="I83" s="14" t="s">
        <v>1970</v>
      </c>
      <c r="J83" s="14" t="str">
        <f>K83&amp;"th"</f>
        <v>5th</v>
      </c>
      <c r="K83" s="14">
        <v>5</v>
      </c>
    </row>
    <row r="84" spans="1:11" ht="13" x14ac:dyDescent="0.15">
      <c r="A84" s="2" t="s">
        <v>512</v>
      </c>
      <c r="B84" s="14" t="s">
        <v>1800</v>
      </c>
      <c r="C84" s="14" t="s">
        <v>1748</v>
      </c>
      <c r="D84" s="14" t="str">
        <f t="shared" si="5"/>
        <v>What is the 2nd letter of the word \"bilang\"?</v>
      </c>
      <c r="E84" s="14" t="str">
        <f t="shared" si="6"/>
        <v>Ano ang ika-2 na titik ng salitang \"bilang\"?</v>
      </c>
      <c r="F84" s="14" t="s">
        <v>1803</v>
      </c>
      <c r="G84" s="14" t="s">
        <v>1971</v>
      </c>
      <c r="H84" s="14"/>
      <c r="I84" s="14" t="s">
        <v>1776</v>
      </c>
      <c r="J84" s="14" t="s">
        <v>1813</v>
      </c>
      <c r="K84" s="14">
        <v>2</v>
      </c>
    </row>
    <row r="85" spans="1:11" ht="13" x14ac:dyDescent="0.15">
      <c r="A85" s="2" t="s">
        <v>512</v>
      </c>
      <c r="B85" s="14" t="s">
        <v>1800</v>
      </c>
      <c r="C85" s="14" t="s">
        <v>1748</v>
      </c>
      <c r="D85" s="14" t="str">
        <f t="shared" si="5"/>
        <v>What is the 7th letter of the word \"dalulong\"?</v>
      </c>
      <c r="E85" s="14" t="str">
        <f t="shared" si="6"/>
        <v>Ano ang ika-7 na titik ng salitang \"dalulong\"?</v>
      </c>
      <c r="F85" s="14" t="s">
        <v>521</v>
      </c>
      <c r="G85" s="14" t="s">
        <v>1972</v>
      </c>
      <c r="H85" s="14"/>
      <c r="I85" s="14" t="s">
        <v>1973</v>
      </c>
      <c r="J85" s="14" t="str">
        <f t="shared" ref="J85:J87" si="8">K85&amp;"th"</f>
        <v>7th</v>
      </c>
      <c r="K85" s="14">
        <v>7</v>
      </c>
    </row>
    <row r="86" spans="1:11" ht="13" x14ac:dyDescent="0.15">
      <c r="A86" s="2" t="s">
        <v>512</v>
      </c>
      <c r="B86" s="14" t="s">
        <v>1800</v>
      </c>
      <c r="C86" s="14" t="s">
        <v>1748</v>
      </c>
      <c r="D86" s="14" t="str">
        <f t="shared" si="5"/>
        <v>What is the 5th letter of the word \"maging\"?</v>
      </c>
      <c r="E86" s="14" t="str">
        <f t="shared" si="6"/>
        <v>Ano ang ika-5 na titik ng salitang \"maging\"?</v>
      </c>
      <c r="F86" s="14" t="s">
        <v>521</v>
      </c>
      <c r="G86" s="14" t="s">
        <v>1974</v>
      </c>
      <c r="H86" s="14"/>
      <c r="I86" s="14" t="s">
        <v>1975</v>
      </c>
      <c r="J86" s="14" t="str">
        <f t="shared" si="8"/>
        <v>5th</v>
      </c>
      <c r="K86" s="14">
        <v>5</v>
      </c>
    </row>
    <row r="87" spans="1:11" ht="13" x14ac:dyDescent="0.15">
      <c r="A87" s="2" t="s">
        <v>512</v>
      </c>
      <c r="B87" s="14" t="s">
        <v>1800</v>
      </c>
      <c r="C87" s="14" t="s">
        <v>1748</v>
      </c>
      <c r="D87" s="14" t="str">
        <f t="shared" si="5"/>
        <v>What is the 5th letter of the word \"lamang\"?</v>
      </c>
      <c r="E87" s="14" t="str">
        <f t="shared" si="6"/>
        <v>Ano ang ika-5 na titik ng salitang \"lamang\"?</v>
      </c>
      <c r="F87" s="14" t="s">
        <v>521</v>
      </c>
      <c r="G87" s="14" t="s">
        <v>1976</v>
      </c>
      <c r="H87" s="14"/>
      <c r="I87" s="14" t="s">
        <v>97</v>
      </c>
      <c r="J87" s="14" t="str">
        <f t="shared" si="8"/>
        <v>5th</v>
      </c>
      <c r="K87" s="14">
        <v>5</v>
      </c>
    </row>
    <row r="88" spans="1:11" ht="13" x14ac:dyDescent="0.15">
      <c r="A88" s="2" t="s">
        <v>512</v>
      </c>
      <c r="B88" s="14" t="s">
        <v>1800</v>
      </c>
      <c r="C88" s="14" t="s">
        <v>1748</v>
      </c>
      <c r="D88" s="14" t="str">
        <f t="shared" si="5"/>
        <v>What is the 3rd letter of the word \"silang\"?</v>
      </c>
      <c r="E88" s="14" t="str">
        <f t="shared" si="6"/>
        <v>Ano ang ika-3 na titik ng salitang \"silang\"?</v>
      </c>
      <c r="F88" s="14" t="s">
        <v>1839</v>
      </c>
      <c r="G88" s="14" t="s">
        <v>1977</v>
      </c>
      <c r="H88" s="14"/>
      <c r="I88" s="14" t="s">
        <v>1950</v>
      </c>
      <c r="J88" s="14" t="s">
        <v>1828</v>
      </c>
      <c r="K88" s="14">
        <v>3</v>
      </c>
    </row>
    <row r="89" spans="1:11" ht="13" x14ac:dyDescent="0.15">
      <c r="A89" s="2" t="s">
        <v>512</v>
      </c>
      <c r="B89" s="14" t="s">
        <v>1800</v>
      </c>
      <c r="C89" s="14" t="s">
        <v>1748</v>
      </c>
      <c r="D89" s="14" t="str">
        <f t="shared" si="5"/>
        <v>What is the 8th letter of the word \"salagubang\"?</v>
      </c>
      <c r="E89" s="14" t="str">
        <f t="shared" si="6"/>
        <v>Ano ang ika-8 na titik ng salitang \"salagubang\"?</v>
      </c>
      <c r="F89" s="14" t="s">
        <v>1810</v>
      </c>
      <c r="G89" s="14" t="s">
        <v>1978</v>
      </c>
      <c r="H89" s="14"/>
      <c r="I89" s="14" t="s">
        <v>1979</v>
      </c>
      <c r="J89" s="14" t="str">
        <f t="shared" ref="J89:J93" si="9">K89&amp;"th"</f>
        <v>8th</v>
      </c>
      <c r="K89" s="14">
        <v>8</v>
      </c>
    </row>
    <row r="90" spans="1:11" ht="13" x14ac:dyDescent="0.15">
      <c r="A90" s="2" t="s">
        <v>512</v>
      </c>
      <c r="B90" s="14" t="s">
        <v>1800</v>
      </c>
      <c r="C90" s="14" t="s">
        <v>1748</v>
      </c>
      <c r="D90" s="14" t="str">
        <f t="shared" si="5"/>
        <v>What is the 4th letter of the word \"bilang\"?</v>
      </c>
      <c r="E90" s="14" t="str">
        <f t="shared" si="6"/>
        <v>Ano ang ika-4 na titik ng salitang \"bilang\"?</v>
      </c>
      <c r="F90" s="14" t="s">
        <v>1810</v>
      </c>
      <c r="G90" s="14" t="s">
        <v>1980</v>
      </c>
      <c r="H90" s="14"/>
      <c r="I90" s="14" t="s">
        <v>1776</v>
      </c>
      <c r="J90" s="14" t="str">
        <f t="shared" si="9"/>
        <v>4th</v>
      </c>
      <c r="K90" s="14">
        <v>4</v>
      </c>
    </row>
    <row r="91" spans="1:11" ht="13" x14ac:dyDescent="0.15">
      <c r="A91" s="2" t="s">
        <v>512</v>
      </c>
      <c r="B91" s="14" t="s">
        <v>1800</v>
      </c>
      <c r="C91" s="14" t="s">
        <v>1748</v>
      </c>
      <c r="D91" s="14" t="str">
        <f t="shared" si="5"/>
        <v>What is the 4th letter of the word \"naging\"?</v>
      </c>
      <c r="E91" s="14" t="str">
        <f t="shared" si="6"/>
        <v>Ano ang ika-4 na titik ng salitang \"naging\"?</v>
      </c>
      <c r="F91" s="14" t="s">
        <v>1803</v>
      </c>
      <c r="G91" s="14" t="s">
        <v>1981</v>
      </c>
      <c r="H91" s="14"/>
      <c r="I91" s="14" t="s">
        <v>1777</v>
      </c>
      <c r="J91" s="14" t="str">
        <f t="shared" si="9"/>
        <v>4th</v>
      </c>
      <c r="K91" s="14">
        <v>4</v>
      </c>
    </row>
    <row r="92" spans="1:11" ht="13" x14ac:dyDescent="0.15">
      <c r="A92" s="2" t="s">
        <v>512</v>
      </c>
      <c r="B92" s="14" t="s">
        <v>1800</v>
      </c>
      <c r="C92" s="14" t="s">
        <v>1748</v>
      </c>
      <c r="D92" s="14" t="str">
        <f t="shared" ref="D92:D101" si="10">"What is the " &amp; J92 &amp; " letter of the word " &amp; "\" &amp; """" &amp;I92  &amp; "\" &amp; """" &amp; "?"</f>
        <v>What is the 8th letter of the word \"tiningkal\"?</v>
      </c>
      <c r="E92" s="14" t="str">
        <f t="shared" ref="E92:E101" si="11">"Ano ang ika-" &amp;  K92&amp; " na titik ng salitang "  &amp; "\" &amp; """" &amp;I92  &amp; "\" &amp; """" &amp; "?"</f>
        <v>Ano ang ika-8 na titik ng salitang \"tiningkal\"?</v>
      </c>
      <c r="F92" s="14" t="s">
        <v>1839</v>
      </c>
      <c r="G92" s="14" t="s">
        <v>1982</v>
      </c>
      <c r="H92" s="14"/>
      <c r="I92" s="14" t="s">
        <v>1983</v>
      </c>
      <c r="J92" s="14" t="str">
        <f t="shared" si="9"/>
        <v>8th</v>
      </c>
      <c r="K92" s="14">
        <v>8</v>
      </c>
    </row>
    <row r="93" spans="1:11" ht="13" x14ac:dyDescent="0.15">
      <c r="A93" s="2" t="s">
        <v>512</v>
      </c>
      <c r="B93" s="14" t="s">
        <v>1800</v>
      </c>
      <c r="C93" s="14" t="s">
        <v>1748</v>
      </c>
      <c r="D93" s="14" t="str">
        <f t="shared" si="10"/>
        <v>What is the 5th letter of the word \"putong\"?</v>
      </c>
      <c r="E93" s="14" t="str">
        <f t="shared" si="11"/>
        <v>Ano ang ika-5 na titik ng salitang \"putong\"?</v>
      </c>
      <c r="F93" s="14" t="s">
        <v>521</v>
      </c>
      <c r="G93" s="14" t="s">
        <v>1984</v>
      </c>
      <c r="H93" s="14"/>
      <c r="I93" s="14" t="s">
        <v>1985</v>
      </c>
      <c r="J93" s="14" t="str">
        <f t="shared" si="9"/>
        <v>5th</v>
      </c>
      <c r="K93" s="14">
        <v>5</v>
      </c>
    </row>
    <row r="94" spans="1:11" ht="13" x14ac:dyDescent="0.15">
      <c r="A94" s="2" t="s">
        <v>512</v>
      </c>
      <c r="B94" s="14" t="s">
        <v>1800</v>
      </c>
      <c r="C94" s="14" t="s">
        <v>1748</v>
      </c>
      <c r="D94" s="14" t="str">
        <f t="shared" si="10"/>
        <v>What is the 3rd letter of the word \"bing-il\"?</v>
      </c>
      <c r="E94" s="14" t="str">
        <f t="shared" si="11"/>
        <v>Ano ang ika-3 na titik ng salitang \"bing-il\"?</v>
      </c>
      <c r="F94" s="14" t="s">
        <v>521</v>
      </c>
      <c r="G94" s="14" t="s">
        <v>1986</v>
      </c>
      <c r="H94" s="14"/>
      <c r="I94" s="14" t="s">
        <v>1987</v>
      </c>
      <c r="J94" s="14" t="s">
        <v>1828</v>
      </c>
      <c r="K94" s="14">
        <v>3</v>
      </c>
    </row>
    <row r="95" spans="1:11" ht="13" x14ac:dyDescent="0.15">
      <c r="A95" s="2" t="s">
        <v>512</v>
      </c>
      <c r="B95" s="14" t="s">
        <v>1800</v>
      </c>
      <c r="C95" s="14" t="s">
        <v>1748</v>
      </c>
      <c r="D95" s="14" t="str">
        <f t="shared" si="10"/>
        <v>What is the 5th letter of the word \"habang\"?</v>
      </c>
      <c r="E95" s="14" t="str">
        <f t="shared" si="11"/>
        <v>Ano ang ika-5 na titik ng salitang \"habang\"?</v>
      </c>
      <c r="F95" s="14" t="s">
        <v>521</v>
      </c>
      <c r="G95" s="14" t="s">
        <v>1988</v>
      </c>
      <c r="H95" s="14"/>
      <c r="I95" s="14" t="s">
        <v>1795</v>
      </c>
      <c r="J95" s="14" t="str">
        <f t="shared" ref="J95:J101" si="12">K95&amp;"th"</f>
        <v>5th</v>
      </c>
      <c r="K95" s="14">
        <v>5</v>
      </c>
    </row>
    <row r="96" spans="1:11" ht="13" x14ac:dyDescent="0.15">
      <c r="A96" s="2" t="s">
        <v>512</v>
      </c>
      <c r="B96" s="14" t="s">
        <v>1800</v>
      </c>
      <c r="C96" s="14" t="s">
        <v>1748</v>
      </c>
      <c r="D96" s="14" t="str">
        <f t="shared" si="10"/>
        <v>What is the 5th letter of the word \"sulang\"?</v>
      </c>
      <c r="E96" s="14" t="str">
        <f t="shared" si="11"/>
        <v>Ano ang ika-5 na titik ng salitang \"sulang\"?</v>
      </c>
      <c r="F96" s="14" t="s">
        <v>521</v>
      </c>
      <c r="G96" s="14" t="s">
        <v>1989</v>
      </c>
      <c r="H96" s="14"/>
      <c r="I96" s="14" t="s">
        <v>1990</v>
      </c>
      <c r="J96" s="14" t="str">
        <f t="shared" si="12"/>
        <v>5th</v>
      </c>
      <c r="K96" s="14">
        <v>5</v>
      </c>
    </row>
    <row r="97" spans="1:11" ht="13" x14ac:dyDescent="0.15">
      <c r="A97" s="2" t="s">
        <v>512</v>
      </c>
      <c r="B97" s="14" t="s">
        <v>1800</v>
      </c>
      <c r="C97" s="14" t="s">
        <v>1748</v>
      </c>
      <c r="D97" s="14" t="str">
        <f t="shared" si="10"/>
        <v>What is the 5th letter of the word \"limang\"?</v>
      </c>
      <c r="E97" s="14" t="str">
        <f t="shared" si="11"/>
        <v>Ano ang ika-5 na titik ng salitang \"limang\"?</v>
      </c>
      <c r="F97" s="14" t="s">
        <v>521</v>
      </c>
      <c r="G97" s="14" t="s">
        <v>1991</v>
      </c>
      <c r="H97" s="14"/>
      <c r="I97" s="14" t="s">
        <v>1992</v>
      </c>
      <c r="J97" s="14" t="str">
        <f t="shared" si="12"/>
        <v>5th</v>
      </c>
      <c r="K97" s="14">
        <v>5</v>
      </c>
    </row>
    <row r="98" spans="1:11" ht="13" x14ac:dyDescent="0.15">
      <c r="A98" s="2" t="s">
        <v>512</v>
      </c>
      <c r="B98" s="14" t="s">
        <v>1800</v>
      </c>
      <c r="C98" s="14" t="s">
        <v>1748</v>
      </c>
      <c r="D98" s="14" t="str">
        <f t="shared" si="10"/>
        <v>What is the 4th letter of the word \"kiling\"?</v>
      </c>
      <c r="E98" s="14" t="str">
        <f t="shared" si="11"/>
        <v>Ano ang ika-4 na titik ng salitang \"kiling\"?</v>
      </c>
      <c r="F98" s="14" t="s">
        <v>1803</v>
      </c>
      <c r="G98" s="14" t="s">
        <v>1993</v>
      </c>
      <c r="H98" s="14"/>
      <c r="I98" s="14" t="s">
        <v>1994</v>
      </c>
      <c r="J98" s="14" t="str">
        <f t="shared" si="12"/>
        <v>4th</v>
      </c>
      <c r="K98" s="14">
        <v>4</v>
      </c>
    </row>
    <row r="99" spans="1:11" ht="13" x14ac:dyDescent="0.15">
      <c r="A99" s="2" t="s">
        <v>512</v>
      </c>
      <c r="B99" s="14" t="s">
        <v>1800</v>
      </c>
      <c r="C99" s="14" t="s">
        <v>1748</v>
      </c>
      <c r="D99" s="14" t="str">
        <f t="shared" si="10"/>
        <v>What is the 5th letter of the word \"kolowong\"?</v>
      </c>
      <c r="E99" s="14" t="str">
        <f t="shared" si="11"/>
        <v>Ano ang ika-5 na titik ng salitang \"kolowong\"?</v>
      </c>
      <c r="F99" s="14" t="s">
        <v>1905</v>
      </c>
      <c r="G99" s="14" t="s">
        <v>1995</v>
      </c>
      <c r="H99" s="14"/>
      <c r="I99" s="14" t="s">
        <v>1996</v>
      </c>
      <c r="J99" s="14" t="str">
        <f t="shared" si="12"/>
        <v>5th</v>
      </c>
      <c r="K99" s="14">
        <v>5</v>
      </c>
    </row>
    <row r="100" spans="1:11" ht="13" x14ac:dyDescent="0.15">
      <c r="A100" s="2" t="s">
        <v>512</v>
      </c>
      <c r="B100" s="14" t="s">
        <v>1800</v>
      </c>
      <c r="C100" s="14" t="s">
        <v>1748</v>
      </c>
      <c r="D100" s="14" t="str">
        <f t="shared" si="10"/>
        <v>What is the 5th letter of the word \"langit\"?</v>
      </c>
      <c r="E100" s="14" t="str">
        <f t="shared" si="11"/>
        <v>Ano ang ika-5 na titik ng salitang \"langit\"?</v>
      </c>
      <c r="F100" s="14" t="s">
        <v>1814</v>
      </c>
      <c r="G100" s="14" t="s">
        <v>1997</v>
      </c>
      <c r="H100" s="14"/>
      <c r="I100" s="14" t="s">
        <v>1998</v>
      </c>
      <c r="J100" s="14" t="str">
        <f t="shared" si="12"/>
        <v>5th</v>
      </c>
      <c r="K100" s="14">
        <v>5</v>
      </c>
    </row>
    <row r="101" spans="1:11" ht="13" x14ac:dyDescent="0.15">
      <c r="A101" s="2" t="s">
        <v>512</v>
      </c>
      <c r="B101" s="14" t="s">
        <v>1800</v>
      </c>
      <c r="C101" s="14" t="s">
        <v>1748</v>
      </c>
      <c r="D101" s="14" t="str">
        <f t="shared" si="10"/>
        <v>What is the 6th letter of the word \"pangkat\"?</v>
      </c>
      <c r="E101" s="14" t="str">
        <f t="shared" si="11"/>
        <v>Ano ang ika-6 na titik ng salitang \"pangkat\"?</v>
      </c>
      <c r="F101" s="14" t="s">
        <v>1814</v>
      </c>
      <c r="G101" s="14" t="s">
        <v>1999</v>
      </c>
      <c r="H101" s="14"/>
      <c r="I101" s="14" t="s">
        <v>2000</v>
      </c>
      <c r="J101" s="14" t="str">
        <f t="shared" si="12"/>
        <v>6th</v>
      </c>
      <c r="K101" s="14">
        <v>6</v>
      </c>
    </row>
    <row r="102" spans="1:11" ht="13" x14ac:dyDescent="0.15">
      <c r="B102" s="14"/>
      <c r="C102" s="14"/>
      <c r="D102" s="14"/>
      <c r="E102" s="14"/>
      <c r="F102" s="14"/>
      <c r="G102" s="14"/>
      <c r="H102" s="14"/>
      <c r="I102" s="14"/>
    </row>
    <row r="103" spans="1:11" ht="13" x14ac:dyDescent="0.15">
      <c r="B103" s="14"/>
      <c r="C103" s="14"/>
      <c r="D103" s="14"/>
      <c r="E103" s="14"/>
      <c r="F103" s="14"/>
      <c r="G103" s="14"/>
      <c r="H103" s="14"/>
      <c r="I103" s="14"/>
    </row>
    <row r="104" spans="1:11" ht="13" x14ac:dyDescent="0.15">
      <c r="B104" s="14"/>
      <c r="C104" s="14"/>
      <c r="D104" s="14"/>
      <c r="E104" s="14"/>
      <c r="F104" s="14"/>
      <c r="G104" s="14"/>
      <c r="H104" s="14"/>
      <c r="I104" s="14"/>
    </row>
    <row r="105" spans="1:11" ht="13" x14ac:dyDescent="0.15">
      <c r="B105" s="14"/>
      <c r="C105" s="14"/>
      <c r="D105" s="14"/>
      <c r="E105" s="14"/>
      <c r="F105" s="14"/>
      <c r="G105" s="14"/>
      <c r="H105" s="14"/>
      <c r="I105" s="14"/>
    </row>
    <row r="106" spans="1:11" ht="13" x14ac:dyDescent="0.15">
      <c r="B106" s="14"/>
      <c r="C106" s="14"/>
      <c r="D106" s="14"/>
      <c r="E106" s="14"/>
      <c r="F106" s="14"/>
      <c r="G106" s="14"/>
      <c r="H106" s="14"/>
      <c r="I106" s="14"/>
    </row>
    <row r="107" spans="1:11" ht="13" x14ac:dyDescent="0.15">
      <c r="B107" s="14"/>
      <c r="C107" s="14"/>
      <c r="D107" s="14"/>
      <c r="E107" s="14"/>
      <c r="F107" s="14"/>
      <c r="G107" s="14"/>
      <c r="H107" s="14"/>
      <c r="I107" s="14"/>
    </row>
    <row r="108" spans="1:11" ht="13" x14ac:dyDescent="0.15">
      <c r="B108" s="14"/>
      <c r="C108" s="14"/>
      <c r="D108" s="14"/>
      <c r="E108" s="14"/>
      <c r="F108" s="14"/>
      <c r="G108" s="14"/>
      <c r="H108" s="14"/>
      <c r="I108" s="14"/>
    </row>
    <row r="109" spans="1:11" ht="13" x14ac:dyDescent="0.15">
      <c r="B109" s="14"/>
      <c r="C109" s="14"/>
      <c r="D109" s="14"/>
      <c r="E109" s="14"/>
      <c r="F109" s="14"/>
      <c r="G109" s="14"/>
      <c r="H109" s="14"/>
      <c r="I109" s="14"/>
    </row>
    <row r="110" spans="1:11" ht="13" x14ac:dyDescent="0.15">
      <c r="B110" s="14"/>
      <c r="C110" s="14"/>
      <c r="D110" s="14"/>
      <c r="E110" s="14"/>
      <c r="F110" s="14"/>
      <c r="G110" s="14"/>
      <c r="H110" s="14"/>
      <c r="I110" s="14"/>
    </row>
    <row r="111" spans="1:11" ht="13" x14ac:dyDescent="0.15">
      <c r="B111" s="14"/>
      <c r="C111" s="14"/>
      <c r="D111" s="14"/>
      <c r="E111" s="14"/>
      <c r="F111" s="14"/>
      <c r="G111" s="14"/>
      <c r="H111" s="14"/>
      <c r="I111" s="14"/>
    </row>
    <row r="112" spans="1:11" ht="13" x14ac:dyDescent="0.15">
      <c r="B112" s="14"/>
      <c r="C112" s="14"/>
      <c r="D112" s="14"/>
      <c r="E112" s="14"/>
      <c r="F112" s="14"/>
      <c r="G112" s="14"/>
      <c r="H112" s="14"/>
      <c r="I112" s="14"/>
    </row>
    <row r="113" spans="2:9" ht="13" x14ac:dyDescent="0.15">
      <c r="B113" s="14"/>
      <c r="C113" s="14"/>
      <c r="D113" s="14"/>
      <c r="E113" s="14"/>
      <c r="F113" s="14"/>
      <c r="G113" s="14"/>
      <c r="H113" s="14"/>
      <c r="I113" s="14"/>
    </row>
    <row r="114" spans="2:9" ht="13" x14ac:dyDescent="0.15">
      <c r="B114" s="14"/>
      <c r="C114" s="14"/>
      <c r="D114" s="14"/>
      <c r="E114" s="14"/>
      <c r="F114" s="14"/>
      <c r="G114" s="14"/>
      <c r="H114" s="14"/>
      <c r="I114" s="14"/>
    </row>
    <row r="115" spans="2:9" ht="13" x14ac:dyDescent="0.15">
      <c r="B115" s="14"/>
      <c r="C115" s="14"/>
      <c r="D115" s="14"/>
      <c r="E115" s="14"/>
      <c r="F115" s="14"/>
      <c r="G115" s="14"/>
      <c r="H115" s="14"/>
      <c r="I115" s="14"/>
    </row>
    <row r="116" spans="2:9" ht="13" x14ac:dyDescent="0.15">
      <c r="B116" s="14"/>
      <c r="C116" s="14"/>
      <c r="D116" s="14"/>
      <c r="E116" s="14"/>
      <c r="F116" s="14"/>
      <c r="G116" s="14"/>
      <c r="H116" s="14"/>
      <c r="I116" s="14"/>
    </row>
    <row r="117" spans="2:9" ht="13" x14ac:dyDescent="0.15">
      <c r="B117" s="14"/>
      <c r="C117" s="14"/>
      <c r="D117" s="14"/>
      <c r="E117" s="14"/>
      <c r="F117" s="14"/>
      <c r="G117" s="14"/>
      <c r="H117" s="14"/>
      <c r="I117" s="14"/>
    </row>
    <row r="118" spans="2:9" ht="13" x14ac:dyDescent="0.15">
      <c r="B118" s="14"/>
      <c r="C118" s="14"/>
      <c r="D118" s="14"/>
      <c r="E118" s="14"/>
      <c r="F118" s="14"/>
      <c r="G118" s="14"/>
      <c r="H118" s="14"/>
      <c r="I118" s="14"/>
    </row>
    <row r="119" spans="2:9" ht="13" x14ac:dyDescent="0.15">
      <c r="B119" s="14"/>
      <c r="C119" s="14"/>
      <c r="D119" s="14"/>
      <c r="E119" s="14"/>
      <c r="F119" s="14"/>
      <c r="G119" s="14"/>
      <c r="H119" s="14"/>
      <c r="I119" s="14"/>
    </row>
    <row r="120" spans="2:9" ht="13" x14ac:dyDescent="0.15">
      <c r="B120" s="14"/>
      <c r="C120" s="14"/>
      <c r="D120" s="14"/>
      <c r="E120" s="14"/>
      <c r="F120" s="14"/>
      <c r="G120" s="14"/>
      <c r="H120" s="14"/>
      <c r="I120" s="14"/>
    </row>
    <row r="121" spans="2:9" ht="13" x14ac:dyDescent="0.15">
      <c r="B121" s="14"/>
      <c r="C121" s="14"/>
      <c r="D121" s="14"/>
      <c r="E121" s="14"/>
      <c r="F121" s="14"/>
      <c r="G121" s="14"/>
      <c r="H121" s="14"/>
      <c r="I121" s="14"/>
    </row>
    <row r="122" spans="2:9" ht="13" x14ac:dyDescent="0.15">
      <c r="B122" s="14"/>
      <c r="C122" s="14"/>
      <c r="D122" s="14"/>
      <c r="E122" s="14"/>
      <c r="F122" s="14"/>
      <c r="G122" s="14"/>
      <c r="H122" s="14"/>
      <c r="I122" s="14"/>
    </row>
    <row r="123" spans="2:9" ht="13" x14ac:dyDescent="0.15">
      <c r="B123" s="14"/>
      <c r="C123" s="14"/>
      <c r="D123" s="14"/>
      <c r="E123" s="14"/>
      <c r="F123" s="14"/>
      <c r="G123" s="14"/>
      <c r="H123" s="14"/>
      <c r="I123" s="14"/>
    </row>
    <row r="124" spans="2:9" ht="13" x14ac:dyDescent="0.15">
      <c r="B124" s="14"/>
      <c r="C124" s="14"/>
      <c r="D124" s="14"/>
      <c r="E124" s="14"/>
      <c r="F124" s="14"/>
      <c r="G124" s="14"/>
      <c r="H124" s="14"/>
      <c r="I124" s="14"/>
    </row>
    <row r="125" spans="2:9" ht="13" x14ac:dyDescent="0.15">
      <c r="B125" s="14"/>
      <c r="C125" s="14"/>
      <c r="D125" s="14"/>
      <c r="E125" s="14"/>
      <c r="F125" s="14"/>
      <c r="G125" s="14"/>
      <c r="H125" s="14"/>
      <c r="I125" s="14"/>
    </row>
    <row r="126" spans="2:9" ht="13" x14ac:dyDescent="0.15">
      <c r="B126" s="14"/>
      <c r="C126" s="14"/>
      <c r="D126" s="14"/>
      <c r="E126" s="14"/>
      <c r="F126" s="14"/>
      <c r="G126" s="14"/>
      <c r="H126" s="14"/>
      <c r="I126" s="14"/>
    </row>
    <row r="127" spans="2:9" ht="13" x14ac:dyDescent="0.15">
      <c r="B127" s="14"/>
      <c r="C127" s="14"/>
      <c r="D127" s="14"/>
      <c r="E127" s="14"/>
      <c r="F127" s="14"/>
      <c r="G127" s="14"/>
      <c r="H127" s="14"/>
      <c r="I127" s="14"/>
    </row>
    <row r="128" spans="2:9" ht="13" x14ac:dyDescent="0.15">
      <c r="B128" s="14"/>
      <c r="C128" s="14"/>
      <c r="D128" s="14"/>
      <c r="E128" s="14"/>
      <c r="F128" s="14"/>
      <c r="G128" s="14"/>
      <c r="H128" s="14"/>
      <c r="I128" s="14"/>
    </row>
    <row r="129" spans="2:9" ht="13" x14ac:dyDescent="0.15">
      <c r="B129" s="14"/>
      <c r="C129" s="14"/>
      <c r="D129" s="14"/>
      <c r="E129" s="14"/>
      <c r="F129" s="14"/>
      <c r="G129" s="14"/>
      <c r="H129" s="14"/>
      <c r="I129" s="14"/>
    </row>
    <row r="130" spans="2:9" ht="13" x14ac:dyDescent="0.15">
      <c r="B130" s="14"/>
      <c r="C130" s="14"/>
      <c r="D130" s="14"/>
      <c r="E130" s="14"/>
      <c r="F130" s="14"/>
      <c r="G130" s="14"/>
      <c r="H130" s="14"/>
      <c r="I130" s="14"/>
    </row>
    <row r="131" spans="2:9" ht="13" x14ac:dyDescent="0.15">
      <c r="B131" s="14"/>
      <c r="C131" s="14"/>
      <c r="D131" s="14"/>
      <c r="E131" s="14"/>
      <c r="F131" s="14"/>
      <c r="G131" s="14"/>
      <c r="H131" s="14"/>
      <c r="I131" s="14"/>
    </row>
    <row r="132" spans="2:9" ht="13" x14ac:dyDescent="0.15">
      <c r="B132" s="14"/>
      <c r="C132" s="14"/>
      <c r="D132" s="14"/>
      <c r="E132" s="14"/>
      <c r="F132" s="14"/>
      <c r="G132" s="14"/>
      <c r="H132" s="14"/>
      <c r="I132" s="14"/>
    </row>
    <row r="133" spans="2:9" ht="13" x14ac:dyDescent="0.15">
      <c r="B133" s="14"/>
      <c r="C133" s="14"/>
      <c r="D133" s="14"/>
      <c r="E133" s="14"/>
      <c r="F133" s="14"/>
      <c r="G133" s="14"/>
      <c r="H133" s="14"/>
      <c r="I133" s="14"/>
    </row>
    <row r="134" spans="2:9" ht="13" x14ac:dyDescent="0.15">
      <c r="B134" s="14"/>
      <c r="C134" s="14"/>
      <c r="D134" s="14"/>
      <c r="E134" s="14"/>
      <c r="F134" s="14"/>
      <c r="G134" s="14"/>
      <c r="H134" s="14"/>
      <c r="I134" s="14"/>
    </row>
    <row r="135" spans="2:9" ht="13" x14ac:dyDescent="0.15">
      <c r="B135" s="14"/>
      <c r="C135" s="14"/>
      <c r="D135" s="14"/>
      <c r="E135" s="14"/>
      <c r="F135" s="14"/>
      <c r="G135" s="14"/>
      <c r="H135" s="14"/>
      <c r="I135" s="14"/>
    </row>
    <row r="136" spans="2:9" ht="13" x14ac:dyDescent="0.15">
      <c r="B136" s="14"/>
      <c r="C136" s="14"/>
      <c r="D136" s="14"/>
      <c r="E136" s="14"/>
      <c r="F136" s="14"/>
      <c r="G136" s="14"/>
      <c r="H136" s="14"/>
      <c r="I136" s="14"/>
    </row>
    <row r="137" spans="2:9" ht="13" x14ac:dyDescent="0.15">
      <c r="B137" s="14"/>
      <c r="C137" s="14"/>
      <c r="D137" s="14"/>
      <c r="E137" s="14"/>
      <c r="F137" s="14"/>
      <c r="G137" s="14"/>
      <c r="H137" s="14"/>
      <c r="I137" s="14"/>
    </row>
    <row r="138" spans="2:9" ht="13" x14ac:dyDescent="0.15">
      <c r="B138" s="14"/>
      <c r="C138" s="14"/>
      <c r="D138" s="14"/>
      <c r="E138" s="14"/>
      <c r="F138" s="14"/>
      <c r="G138" s="14"/>
      <c r="H138" s="14"/>
      <c r="I138" s="14"/>
    </row>
    <row r="139" spans="2:9" ht="13" x14ac:dyDescent="0.15">
      <c r="B139" s="14"/>
      <c r="C139" s="14"/>
      <c r="D139" s="14"/>
      <c r="E139" s="14"/>
      <c r="F139" s="14"/>
      <c r="G139" s="14"/>
      <c r="H139" s="14"/>
      <c r="I139" s="14"/>
    </row>
    <row r="140" spans="2:9" ht="13" x14ac:dyDescent="0.15">
      <c r="B140" s="14"/>
      <c r="C140" s="14"/>
      <c r="D140" s="14"/>
      <c r="E140" s="14"/>
      <c r="F140" s="14"/>
      <c r="G140" s="14"/>
      <c r="H140" s="14"/>
      <c r="I140" s="14"/>
    </row>
    <row r="141" spans="2:9" ht="13" x14ac:dyDescent="0.15">
      <c r="B141" s="14"/>
      <c r="C141" s="14"/>
      <c r="D141" s="14"/>
      <c r="E141" s="14"/>
      <c r="F141" s="14"/>
      <c r="G141" s="14"/>
      <c r="H141" s="14"/>
      <c r="I141" s="14"/>
    </row>
    <row r="142" spans="2:9" ht="13" x14ac:dyDescent="0.15">
      <c r="B142" s="14"/>
      <c r="C142" s="14"/>
      <c r="D142" s="14"/>
      <c r="E142" s="14"/>
      <c r="F142" s="14"/>
      <c r="G142" s="14"/>
      <c r="H142" s="14"/>
      <c r="I142" s="14"/>
    </row>
    <row r="143" spans="2:9" ht="13" x14ac:dyDescent="0.15">
      <c r="B143" s="14"/>
      <c r="C143" s="14"/>
      <c r="D143" s="14"/>
      <c r="E143" s="14"/>
      <c r="F143" s="14"/>
      <c r="G143" s="14"/>
      <c r="H143" s="14"/>
      <c r="I143" s="14"/>
    </row>
    <row r="144" spans="2:9" ht="13" x14ac:dyDescent="0.15">
      <c r="B144" s="14"/>
      <c r="C144" s="14"/>
      <c r="D144" s="14"/>
      <c r="E144" s="14"/>
      <c r="F144" s="14"/>
      <c r="G144" s="14"/>
      <c r="H144" s="14"/>
      <c r="I144" s="14"/>
    </row>
    <row r="145" spans="2:9" ht="13" x14ac:dyDescent="0.15">
      <c r="B145" s="14"/>
      <c r="C145" s="14"/>
      <c r="D145" s="14"/>
      <c r="E145" s="14"/>
      <c r="F145" s="14"/>
      <c r="G145" s="14"/>
      <c r="H145" s="14"/>
      <c r="I145" s="14"/>
    </row>
    <row r="146" spans="2:9" ht="13" x14ac:dyDescent="0.15">
      <c r="B146" s="14"/>
      <c r="C146" s="14"/>
      <c r="D146" s="14"/>
      <c r="E146" s="14"/>
      <c r="F146" s="14"/>
      <c r="G146" s="14"/>
      <c r="H146" s="14"/>
      <c r="I146" s="14"/>
    </row>
    <row r="147" spans="2:9" ht="13" x14ac:dyDescent="0.15">
      <c r="B147" s="14"/>
      <c r="C147" s="14"/>
      <c r="D147" s="14"/>
      <c r="E147" s="14"/>
      <c r="F147" s="14"/>
      <c r="G147" s="14"/>
      <c r="H147" s="14"/>
      <c r="I147" s="14"/>
    </row>
    <row r="148" spans="2:9" ht="13" x14ac:dyDescent="0.15">
      <c r="B148" s="14"/>
      <c r="C148" s="14"/>
      <c r="D148" s="14"/>
      <c r="E148" s="14"/>
      <c r="F148" s="14"/>
      <c r="G148" s="14"/>
      <c r="H148" s="14"/>
      <c r="I148" s="14"/>
    </row>
    <row r="149" spans="2:9" ht="13" x14ac:dyDescent="0.15">
      <c r="B149" s="14"/>
      <c r="C149" s="14"/>
      <c r="D149" s="14"/>
      <c r="E149" s="14"/>
      <c r="F149" s="14"/>
      <c r="G149" s="14"/>
      <c r="H149" s="14"/>
      <c r="I149" s="14"/>
    </row>
    <row r="150" spans="2:9" ht="13" x14ac:dyDescent="0.15">
      <c r="B150" s="14"/>
      <c r="C150" s="14"/>
      <c r="D150" s="14"/>
      <c r="E150" s="14"/>
      <c r="F150" s="14"/>
      <c r="G150" s="14"/>
      <c r="H150" s="14"/>
      <c r="I150" s="14"/>
    </row>
    <row r="151" spans="2:9" ht="13" x14ac:dyDescent="0.15">
      <c r="B151" s="14"/>
      <c r="C151" s="14"/>
      <c r="D151" s="14"/>
      <c r="E151" s="14"/>
      <c r="F151" s="14"/>
      <c r="G151" s="14"/>
      <c r="H151" s="14"/>
      <c r="I151" s="14"/>
    </row>
    <row r="152" spans="2:9" ht="13" x14ac:dyDescent="0.15">
      <c r="B152" s="14"/>
      <c r="C152" s="14"/>
      <c r="D152" s="14"/>
      <c r="E152" s="14"/>
      <c r="F152" s="14"/>
      <c r="G152" s="14"/>
      <c r="H152" s="14"/>
      <c r="I152" s="14"/>
    </row>
    <row r="153" spans="2:9" ht="13" x14ac:dyDescent="0.15">
      <c r="B153" s="14"/>
      <c r="C153" s="14"/>
      <c r="D153" s="14"/>
      <c r="E153" s="14"/>
      <c r="F153" s="14"/>
      <c r="G153" s="14"/>
      <c r="H153" s="14"/>
      <c r="I153" s="14"/>
    </row>
    <row r="154" spans="2:9" ht="13" x14ac:dyDescent="0.15">
      <c r="B154" s="14"/>
      <c r="C154" s="14"/>
      <c r="D154" s="14"/>
      <c r="E154" s="14"/>
      <c r="F154" s="14"/>
      <c r="G154" s="14"/>
      <c r="H154" s="14"/>
      <c r="I154" s="14"/>
    </row>
    <row r="155" spans="2:9" ht="13" x14ac:dyDescent="0.15">
      <c r="B155" s="14"/>
      <c r="C155" s="14"/>
      <c r="D155" s="14"/>
      <c r="E155" s="14"/>
      <c r="F155" s="14"/>
      <c r="G155" s="14"/>
      <c r="H155" s="14"/>
      <c r="I155" s="14"/>
    </row>
    <row r="156" spans="2:9" ht="13" x14ac:dyDescent="0.15">
      <c r="B156" s="14"/>
      <c r="C156" s="14"/>
      <c r="D156" s="14"/>
      <c r="E156" s="14"/>
      <c r="F156" s="14"/>
      <c r="G156" s="14"/>
      <c r="H156" s="14"/>
      <c r="I156" s="14"/>
    </row>
    <row r="157" spans="2:9" ht="13" x14ac:dyDescent="0.15">
      <c r="B157" s="14"/>
      <c r="C157" s="14"/>
      <c r="D157" s="14"/>
      <c r="E157" s="14"/>
      <c r="F157" s="14"/>
      <c r="G157" s="14"/>
      <c r="H157" s="14"/>
      <c r="I157" s="14"/>
    </row>
    <row r="158" spans="2:9" ht="13" x14ac:dyDescent="0.15">
      <c r="B158" s="14"/>
      <c r="C158" s="14"/>
      <c r="D158" s="14"/>
      <c r="E158" s="14"/>
      <c r="F158" s="14"/>
      <c r="G158" s="14"/>
      <c r="H158" s="14"/>
      <c r="I158" s="14"/>
    </row>
    <row r="159" spans="2:9" ht="13" x14ac:dyDescent="0.15">
      <c r="B159" s="14"/>
      <c r="C159" s="14"/>
      <c r="D159" s="14"/>
      <c r="E159" s="14"/>
      <c r="F159" s="14"/>
      <c r="G159" s="14"/>
      <c r="H159" s="14"/>
      <c r="I159" s="14"/>
    </row>
    <row r="160" spans="2:9" ht="13" x14ac:dyDescent="0.15">
      <c r="B160" s="14"/>
      <c r="C160" s="14"/>
      <c r="D160" s="14"/>
      <c r="E160" s="14"/>
      <c r="F160" s="14"/>
      <c r="G160" s="14"/>
      <c r="H160" s="14"/>
      <c r="I160" s="14"/>
    </row>
    <row r="161" spans="2:9" ht="13" x14ac:dyDescent="0.15">
      <c r="B161" s="14"/>
      <c r="C161" s="14"/>
      <c r="D161" s="14"/>
      <c r="E161" s="14"/>
      <c r="F161" s="14"/>
      <c r="G161" s="14"/>
      <c r="H161" s="14"/>
      <c r="I161" s="14"/>
    </row>
    <row r="162" spans="2:9" ht="13" x14ac:dyDescent="0.15">
      <c r="B162" s="14"/>
      <c r="C162" s="14"/>
      <c r="D162" s="14"/>
      <c r="E162" s="14"/>
      <c r="F162" s="14"/>
      <c r="G162" s="14"/>
      <c r="H162" s="14"/>
      <c r="I162" s="14"/>
    </row>
    <row r="163" spans="2:9" ht="13" x14ac:dyDescent="0.15">
      <c r="B163" s="14"/>
      <c r="C163" s="14"/>
      <c r="D163" s="14"/>
      <c r="E163" s="14"/>
      <c r="F163" s="14"/>
      <c r="G163" s="14"/>
      <c r="H163" s="14"/>
      <c r="I163" s="14"/>
    </row>
    <row r="164" spans="2:9" ht="13" x14ac:dyDescent="0.15">
      <c r="B164" s="14"/>
      <c r="C164" s="14"/>
      <c r="D164" s="14"/>
      <c r="E164" s="14"/>
      <c r="F164" s="14"/>
      <c r="G164" s="14"/>
      <c r="H164" s="14"/>
      <c r="I164" s="14"/>
    </row>
    <row r="165" spans="2:9" ht="13" x14ac:dyDescent="0.15">
      <c r="B165" s="14"/>
      <c r="C165" s="14"/>
      <c r="D165" s="14"/>
      <c r="E165" s="14"/>
      <c r="F165" s="14"/>
      <c r="G165" s="14"/>
      <c r="H165" s="14"/>
      <c r="I165" s="14"/>
    </row>
    <row r="166" spans="2:9" ht="13" x14ac:dyDescent="0.15">
      <c r="B166" s="14"/>
      <c r="C166" s="14"/>
      <c r="D166" s="14"/>
      <c r="E166" s="14"/>
      <c r="F166" s="14"/>
      <c r="G166" s="14"/>
      <c r="H166" s="14"/>
      <c r="I166" s="14"/>
    </row>
    <row r="167" spans="2:9" ht="13" x14ac:dyDescent="0.15">
      <c r="B167" s="14"/>
      <c r="C167" s="14"/>
      <c r="D167" s="14"/>
      <c r="E167" s="14"/>
      <c r="F167" s="14"/>
      <c r="G167" s="14"/>
      <c r="H167" s="14"/>
      <c r="I167" s="14"/>
    </row>
    <row r="168" spans="2:9" ht="13" x14ac:dyDescent="0.15">
      <c r="B168" s="14"/>
      <c r="C168" s="14"/>
      <c r="D168" s="14"/>
      <c r="E168" s="14"/>
      <c r="F168" s="14"/>
      <c r="G168" s="14"/>
      <c r="H168" s="14"/>
      <c r="I168" s="14"/>
    </row>
    <row r="169" spans="2:9" ht="13" x14ac:dyDescent="0.15">
      <c r="B169" s="14"/>
      <c r="C169" s="14"/>
      <c r="D169" s="14"/>
      <c r="E169" s="14"/>
      <c r="F169" s="14"/>
      <c r="G169" s="14"/>
      <c r="H169" s="14"/>
      <c r="I169" s="14"/>
    </row>
    <row r="170" spans="2:9" ht="13" x14ac:dyDescent="0.15">
      <c r="B170" s="14"/>
      <c r="C170" s="14"/>
      <c r="D170" s="14"/>
      <c r="E170" s="14"/>
      <c r="F170" s="14"/>
      <c r="G170" s="14"/>
      <c r="H170" s="14"/>
      <c r="I170" s="14"/>
    </row>
    <row r="171" spans="2:9" ht="13" x14ac:dyDescent="0.15">
      <c r="B171" s="14"/>
      <c r="C171" s="14"/>
      <c r="D171" s="14"/>
      <c r="E171" s="14"/>
      <c r="F171" s="14"/>
      <c r="G171" s="14"/>
      <c r="H171" s="14"/>
      <c r="I171" s="14"/>
    </row>
    <row r="172" spans="2:9" ht="13" x14ac:dyDescent="0.15">
      <c r="B172" s="14"/>
      <c r="C172" s="14"/>
      <c r="D172" s="14"/>
      <c r="E172" s="14"/>
      <c r="F172" s="14"/>
      <c r="G172" s="14"/>
      <c r="H172" s="14"/>
      <c r="I172" s="14"/>
    </row>
    <row r="173" spans="2:9" ht="13" x14ac:dyDescent="0.15">
      <c r="B173" s="14"/>
      <c r="C173" s="14"/>
      <c r="D173" s="14"/>
      <c r="E173" s="14"/>
      <c r="F173" s="14"/>
      <c r="G173" s="14"/>
      <c r="H173" s="14"/>
      <c r="I173" s="14"/>
    </row>
    <row r="174" spans="2:9" ht="13" x14ac:dyDescent="0.15">
      <c r="B174" s="14"/>
      <c r="C174" s="14"/>
      <c r="D174" s="14"/>
      <c r="E174" s="14"/>
      <c r="F174" s="14"/>
      <c r="G174" s="14"/>
      <c r="H174" s="14"/>
      <c r="I174" s="14"/>
    </row>
    <row r="175" spans="2:9" ht="13" x14ac:dyDescent="0.15">
      <c r="B175" s="14"/>
      <c r="C175" s="14"/>
      <c r="D175" s="14"/>
      <c r="E175" s="14"/>
      <c r="F175" s="14"/>
      <c r="G175" s="14"/>
      <c r="H175" s="14"/>
      <c r="I175" s="14"/>
    </row>
    <row r="176" spans="2:9" ht="13" x14ac:dyDescent="0.15">
      <c r="B176" s="14"/>
      <c r="C176" s="14"/>
      <c r="D176" s="14"/>
      <c r="E176" s="14"/>
      <c r="F176" s="14"/>
      <c r="G176" s="14"/>
      <c r="H176" s="14"/>
      <c r="I176" s="14"/>
    </row>
    <row r="177" spans="2:9" ht="13" x14ac:dyDescent="0.15">
      <c r="B177" s="14"/>
      <c r="C177" s="14"/>
      <c r="D177" s="14"/>
      <c r="E177" s="14"/>
      <c r="F177" s="14"/>
      <c r="G177" s="14"/>
      <c r="H177" s="14"/>
      <c r="I177" s="14"/>
    </row>
    <row r="178" spans="2:9" ht="13" x14ac:dyDescent="0.15">
      <c r="B178" s="14"/>
      <c r="C178" s="14"/>
      <c r="D178" s="14"/>
      <c r="E178" s="14"/>
      <c r="F178" s="14"/>
      <c r="G178" s="14"/>
      <c r="H178" s="14"/>
      <c r="I178" s="14"/>
    </row>
    <row r="179" spans="2:9" ht="13" x14ac:dyDescent="0.15">
      <c r="B179" s="14"/>
      <c r="C179" s="14"/>
      <c r="D179" s="14"/>
      <c r="E179" s="14"/>
      <c r="F179" s="14"/>
      <c r="G179" s="14"/>
      <c r="H179" s="14"/>
      <c r="I179" s="14"/>
    </row>
    <row r="180" spans="2:9" ht="13" x14ac:dyDescent="0.15">
      <c r="B180" s="14"/>
      <c r="C180" s="14"/>
      <c r="D180" s="14"/>
      <c r="E180" s="14"/>
      <c r="F180" s="14"/>
      <c r="G180" s="14"/>
      <c r="H180" s="14"/>
      <c r="I180" s="14"/>
    </row>
    <row r="181" spans="2:9" ht="13" x14ac:dyDescent="0.15">
      <c r="B181" s="14"/>
      <c r="C181" s="14"/>
      <c r="D181" s="14"/>
      <c r="E181" s="14"/>
      <c r="F181" s="14"/>
      <c r="G181" s="14"/>
      <c r="H181" s="14"/>
      <c r="I181" s="14"/>
    </row>
    <row r="182" spans="2:9" ht="13" x14ac:dyDescent="0.15">
      <c r="B182" s="14"/>
      <c r="C182" s="14"/>
      <c r="D182" s="14"/>
      <c r="E182" s="14"/>
      <c r="F182" s="14"/>
      <c r="G182" s="14"/>
      <c r="H182" s="14"/>
      <c r="I182" s="14"/>
    </row>
    <row r="183" spans="2:9" ht="13" x14ac:dyDescent="0.15">
      <c r="B183" s="14"/>
      <c r="C183" s="14"/>
      <c r="D183" s="14"/>
      <c r="E183" s="14"/>
      <c r="F183" s="14"/>
      <c r="G183" s="14"/>
      <c r="H183" s="14"/>
      <c r="I183" s="14"/>
    </row>
    <row r="184" spans="2:9" ht="13" x14ac:dyDescent="0.15">
      <c r="B184" s="14"/>
      <c r="C184" s="14"/>
      <c r="D184" s="14"/>
      <c r="E184" s="14"/>
      <c r="F184" s="14"/>
      <c r="G184" s="14"/>
      <c r="H184" s="14"/>
      <c r="I184" s="14"/>
    </row>
    <row r="185" spans="2:9" ht="13" x14ac:dyDescent="0.15">
      <c r="B185" s="14"/>
      <c r="C185" s="14"/>
      <c r="D185" s="14"/>
      <c r="E185" s="14"/>
      <c r="F185" s="14"/>
      <c r="G185" s="14"/>
      <c r="H185" s="14"/>
      <c r="I185" s="14"/>
    </row>
    <row r="186" spans="2:9" ht="13" x14ac:dyDescent="0.15">
      <c r="B186" s="14"/>
      <c r="C186" s="14"/>
      <c r="D186" s="14"/>
      <c r="E186" s="14"/>
      <c r="F186" s="14"/>
      <c r="G186" s="14"/>
      <c r="H186" s="14"/>
      <c r="I186" s="14"/>
    </row>
    <row r="187" spans="2:9" ht="13" x14ac:dyDescent="0.15">
      <c r="B187" s="14"/>
      <c r="C187" s="14"/>
      <c r="D187" s="14"/>
      <c r="E187" s="14"/>
      <c r="F187" s="14"/>
      <c r="G187" s="14"/>
      <c r="H187" s="14"/>
      <c r="I187" s="14"/>
    </row>
    <row r="188" spans="2:9" ht="13" x14ac:dyDescent="0.15">
      <c r="B188" s="14"/>
      <c r="C188" s="14"/>
      <c r="D188" s="14"/>
      <c r="E188" s="14"/>
      <c r="F188" s="14"/>
      <c r="G188" s="14"/>
      <c r="H188" s="14"/>
      <c r="I188" s="14"/>
    </row>
    <row r="189" spans="2:9" ht="13" x14ac:dyDescent="0.15">
      <c r="B189" s="14"/>
      <c r="C189" s="14"/>
      <c r="D189" s="14"/>
      <c r="E189" s="14"/>
      <c r="F189" s="14"/>
      <c r="G189" s="14"/>
      <c r="H189" s="14"/>
      <c r="I189" s="14"/>
    </row>
    <row r="190" spans="2:9" ht="13" x14ac:dyDescent="0.15">
      <c r="B190" s="14"/>
      <c r="C190" s="14"/>
      <c r="D190" s="14"/>
      <c r="E190" s="14"/>
      <c r="F190" s="14"/>
      <c r="G190" s="14"/>
      <c r="H190" s="14"/>
      <c r="I190" s="14"/>
    </row>
    <row r="191" spans="2:9" ht="13" x14ac:dyDescent="0.15">
      <c r="B191" s="14"/>
      <c r="C191" s="14"/>
      <c r="D191" s="14"/>
      <c r="E191" s="14"/>
      <c r="F191" s="14"/>
      <c r="G191" s="14"/>
      <c r="H191" s="14"/>
      <c r="I191" s="14"/>
    </row>
    <row r="192" spans="2:9" ht="13" x14ac:dyDescent="0.15">
      <c r="B192" s="14"/>
      <c r="C192" s="14"/>
      <c r="D192" s="14"/>
      <c r="E192" s="14"/>
      <c r="F192" s="14"/>
      <c r="G192" s="14"/>
      <c r="H192" s="14"/>
      <c r="I192" s="14"/>
    </row>
    <row r="193" spans="2:9" ht="13" x14ac:dyDescent="0.15">
      <c r="B193" s="14"/>
      <c r="C193" s="14"/>
      <c r="D193" s="14"/>
      <c r="E193" s="14"/>
      <c r="F193" s="14"/>
      <c r="G193" s="14"/>
      <c r="H193" s="14"/>
      <c r="I193" s="14"/>
    </row>
    <row r="194" spans="2:9" ht="13" x14ac:dyDescent="0.15">
      <c r="B194" s="14"/>
      <c r="C194" s="14"/>
      <c r="D194" s="14"/>
      <c r="E194" s="14"/>
      <c r="F194" s="14"/>
      <c r="G194" s="14"/>
      <c r="H194" s="14"/>
      <c r="I194" s="14"/>
    </row>
    <row r="195" spans="2:9" ht="13" x14ac:dyDescent="0.15">
      <c r="B195" s="14"/>
      <c r="C195" s="14"/>
      <c r="D195" s="14"/>
      <c r="E195" s="14"/>
      <c r="F195" s="14"/>
      <c r="G195" s="14"/>
      <c r="H195" s="14"/>
      <c r="I195" s="14"/>
    </row>
    <row r="196" spans="2:9" ht="13" x14ac:dyDescent="0.15">
      <c r="B196" s="14"/>
      <c r="C196" s="14"/>
      <c r="D196" s="14"/>
      <c r="E196" s="14"/>
      <c r="F196" s="14"/>
      <c r="G196" s="14"/>
      <c r="H196" s="14"/>
      <c r="I196" s="14"/>
    </row>
    <row r="197" spans="2:9" ht="13" x14ac:dyDescent="0.15">
      <c r="B197" s="14"/>
      <c r="C197" s="14"/>
      <c r="D197" s="14"/>
      <c r="E197" s="14"/>
      <c r="F197" s="14"/>
      <c r="G197" s="14"/>
      <c r="H197" s="14"/>
      <c r="I197" s="14"/>
    </row>
    <row r="198" spans="2:9" ht="13" x14ac:dyDescent="0.15">
      <c r="B198" s="14"/>
      <c r="C198" s="14"/>
      <c r="D198" s="14"/>
      <c r="E198" s="14"/>
      <c r="F198" s="14"/>
      <c r="G198" s="14"/>
      <c r="H198" s="14"/>
      <c r="I198" s="14"/>
    </row>
    <row r="199" spans="2:9" ht="13" x14ac:dyDescent="0.15">
      <c r="B199" s="14"/>
      <c r="C199" s="14"/>
      <c r="D199" s="14"/>
      <c r="E199" s="14"/>
      <c r="F199" s="14"/>
      <c r="G199" s="14"/>
      <c r="H199" s="14"/>
      <c r="I199" s="14"/>
    </row>
    <row r="200" spans="2:9" ht="13" x14ac:dyDescent="0.15">
      <c r="B200" s="14"/>
      <c r="C200" s="14"/>
      <c r="D200" s="14"/>
      <c r="E200" s="14"/>
      <c r="F200" s="14"/>
      <c r="G200" s="14"/>
      <c r="H200" s="14"/>
      <c r="I200" s="14"/>
    </row>
    <row r="201" spans="2:9" ht="13" x14ac:dyDescent="0.15">
      <c r="B201" s="14"/>
      <c r="C201" s="14"/>
      <c r="D201" s="14"/>
      <c r="E201" s="14"/>
      <c r="F201" s="14"/>
      <c r="G201" s="14"/>
      <c r="H201" s="14"/>
      <c r="I201" s="14"/>
    </row>
    <row r="202" spans="2:9" ht="13" x14ac:dyDescent="0.15">
      <c r="B202" s="14"/>
      <c r="C202" s="14"/>
      <c r="D202" s="14"/>
      <c r="E202" s="14"/>
      <c r="F202" s="14"/>
      <c r="G202" s="14"/>
      <c r="H202" s="14"/>
      <c r="I202" s="14"/>
    </row>
    <row r="203" spans="2:9" ht="13" x14ac:dyDescent="0.15">
      <c r="B203" s="14"/>
      <c r="C203" s="14"/>
      <c r="D203" s="14"/>
      <c r="E203" s="14"/>
      <c r="F203" s="14"/>
      <c r="G203" s="14"/>
      <c r="H203" s="14"/>
      <c r="I203" s="14"/>
    </row>
    <row r="204" spans="2:9" ht="13" x14ac:dyDescent="0.15">
      <c r="B204" s="14"/>
      <c r="C204" s="14"/>
      <c r="D204" s="14"/>
      <c r="E204" s="14"/>
      <c r="F204" s="14"/>
      <c r="G204" s="14"/>
      <c r="H204" s="14"/>
      <c r="I204" s="14"/>
    </row>
    <row r="205" spans="2:9" ht="13" x14ac:dyDescent="0.15">
      <c r="B205" s="14"/>
      <c r="C205" s="14"/>
      <c r="D205" s="14"/>
      <c r="E205" s="14"/>
      <c r="F205" s="14"/>
      <c r="G205" s="14"/>
      <c r="H205" s="14"/>
      <c r="I205" s="14"/>
    </row>
    <row r="206" spans="2:9" ht="13" x14ac:dyDescent="0.15">
      <c r="B206" s="14"/>
      <c r="C206" s="14"/>
      <c r="D206" s="14"/>
      <c r="E206" s="14"/>
      <c r="F206" s="14"/>
      <c r="G206" s="14"/>
      <c r="H206" s="14"/>
      <c r="I206" s="14"/>
    </row>
    <row r="207" spans="2:9" ht="13" x14ac:dyDescent="0.15">
      <c r="B207" s="14"/>
      <c r="C207" s="14"/>
      <c r="D207" s="14"/>
      <c r="E207" s="14"/>
      <c r="F207" s="14"/>
      <c r="G207" s="14"/>
      <c r="H207" s="14"/>
      <c r="I207" s="14"/>
    </row>
    <row r="208" spans="2:9" ht="13" x14ac:dyDescent="0.15">
      <c r="B208" s="14"/>
      <c r="C208" s="14"/>
      <c r="D208" s="14"/>
      <c r="E208" s="14"/>
      <c r="F208" s="14"/>
      <c r="G208" s="14"/>
      <c r="H208" s="14"/>
      <c r="I208" s="14"/>
    </row>
    <row r="209" spans="2:9" ht="13" x14ac:dyDescent="0.15">
      <c r="B209" s="14"/>
      <c r="C209" s="14"/>
      <c r="D209" s="14"/>
      <c r="E209" s="14"/>
      <c r="F209" s="14"/>
      <c r="G209" s="14"/>
      <c r="H209" s="14"/>
      <c r="I209" s="14"/>
    </row>
    <row r="210" spans="2:9" ht="13" x14ac:dyDescent="0.15">
      <c r="B210" s="14"/>
      <c r="C210" s="14"/>
      <c r="D210" s="14"/>
      <c r="E210" s="14"/>
      <c r="F210" s="14"/>
      <c r="G210" s="14"/>
      <c r="H210" s="14"/>
      <c r="I210" s="14"/>
    </row>
    <row r="211" spans="2:9" ht="13" x14ac:dyDescent="0.15">
      <c r="B211" s="14"/>
      <c r="C211" s="14"/>
      <c r="D211" s="14"/>
      <c r="E211" s="14"/>
      <c r="F211" s="14"/>
      <c r="G211" s="14"/>
      <c r="H211" s="14"/>
      <c r="I211" s="14"/>
    </row>
    <row r="212" spans="2:9" ht="13" x14ac:dyDescent="0.15">
      <c r="B212" s="14"/>
      <c r="C212" s="14"/>
      <c r="D212" s="14"/>
      <c r="E212" s="14"/>
      <c r="F212" s="14"/>
      <c r="G212" s="14"/>
      <c r="H212" s="14"/>
      <c r="I212" s="14"/>
    </row>
    <row r="213" spans="2:9" ht="13" x14ac:dyDescent="0.15">
      <c r="B213" s="14"/>
      <c r="C213" s="14"/>
      <c r="D213" s="14"/>
      <c r="E213" s="14"/>
      <c r="F213" s="14"/>
      <c r="G213" s="14"/>
      <c r="H213" s="14"/>
      <c r="I213" s="14"/>
    </row>
    <row r="214" spans="2:9" ht="13" x14ac:dyDescent="0.15">
      <c r="B214" s="14"/>
      <c r="C214" s="14"/>
      <c r="D214" s="14"/>
      <c r="E214" s="14"/>
      <c r="F214" s="14"/>
      <c r="G214" s="14"/>
      <c r="H214" s="14"/>
      <c r="I214" s="14"/>
    </row>
    <row r="215" spans="2:9" ht="13" x14ac:dyDescent="0.15">
      <c r="B215" s="14"/>
      <c r="C215" s="14"/>
      <c r="D215" s="14"/>
      <c r="E215" s="14"/>
      <c r="F215" s="14"/>
      <c r="G215" s="14"/>
      <c r="H215" s="14"/>
      <c r="I215" s="14"/>
    </row>
    <row r="216" spans="2:9" ht="13" x14ac:dyDescent="0.15">
      <c r="B216" s="14"/>
      <c r="C216" s="14"/>
      <c r="D216" s="14"/>
      <c r="E216" s="14"/>
      <c r="F216" s="14"/>
      <c r="G216" s="14"/>
      <c r="H216" s="14"/>
      <c r="I216" s="14"/>
    </row>
    <row r="217" spans="2:9" ht="13" x14ac:dyDescent="0.15">
      <c r="B217" s="14"/>
      <c r="C217" s="14"/>
      <c r="D217" s="14"/>
      <c r="E217" s="14"/>
      <c r="F217" s="14"/>
      <c r="G217" s="14"/>
      <c r="H217" s="14"/>
      <c r="I217" s="14"/>
    </row>
    <row r="218" spans="2:9" ht="13" x14ac:dyDescent="0.15">
      <c r="B218" s="14"/>
      <c r="C218" s="14"/>
      <c r="D218" s="14"/>
      <c r="E218" s="14"/>
      <c r="F218" s="14"/>
      <c r="G218" s="14"/>
      <c r="H218" s="14"/>
      <c r="I218" s="14"/>
    </row>
    <row r="219" spans="2:9" ht="13" x14ac:dyDescent="0.15">
      <c r="B219" s="14"/>
      <c r="C219" s="14"/>
      <c r="D219" s="14"/>
      <c r="E219" s="14"/>
      <c r="F219" s="14"/>
      <c r="G219" s="14"/>
      <c r="H219" s="14"/>
      <c r="I219" s="14"/>
    </row>
    <row r="220" spans="2:9" ht="13" x14ac:dyDescent="0.15">
      <c r="B220" s="14"/>
      <c r="C220" s="14"/>
      <c r="D220" s="14"/>
      <c r="E220" s="14"/>
      <c r="F220" s="14"/>
      <c r="G220" s="14"/>
      <c r="H220" s="14"/>
      <c r="I220" s="14"/>
    </row>
    <row r="221" spans="2:9" ht="13" x14ac:dyDescent="0.15">
      <c r="B221" s="14"/>
      <c r="C221" s="14"/>
      <c r="D221" s="14"/>
      <c r="E221" s="14"/>
      <c r="F221" s="14"/>
      <c r="G221" s="14"/>
      <c r="H221" s="14"/>
      <c r="I221" s="14"/>
    </row>
    <row r="222" spans="2:9" ht="13" x14ac:dyDescent="0.15">
      <c r="B222" s="14"/>
      <c r="C222" s="14"/>
      <c r="D222" s="14"/>
      <c r="E222" s="14"/>
      <c r="F222" s="14"/>
      <c r="G222" s="14"/>
      <c r="H222" s="14"/>
      <c r="I222" s="14"/>
    </row>
    <row r="223" spans="2:9" ht="13" x14ac:dyDescent="0.15">
      <c r="B223" s="14"/>
      <c r="C223" s="14"/>
      <c r="D223" s="14"/>
      <c r="E223" s="14"/>
      <c r="F223" s="14"/>
      <c r="G223" s="14"/>
      <c r="H223" s="14"/>
      <c r="I223" s="14"/>
    </row>
    <row r="224" spans="2:9" ht="13" x14ac:dyDescent="0.15">
      <c r="B224" s="14"/>
      <c r="C224" s="14"/>
      <c r="D224" s="14"/>
      <c r="E224" s="14"/>
      <c r="F224" s="14"/>
      <c r="G224" s="14"/>
      <c r="H224" s="14"/>
      <c r="I224" s="14"/>
    </row>
    <row r="225" spans="2:9" ht="13" x14ac:dyDescent="0.15">
      <c r="B225" s="14"/>
      <c r="C225" s="14"/>
      <c r="D225" s="14"/>
      <c r="E225" s="14"/>
      <c r="F225" s="14"/>
      <c r="G225" s="14"/>
      <c r="H225" s="14"/>
      <c r="I225" s="14"/>
    </row>
    <row r="226" spans="2:9" ht="13" x14ac:dyDescent="0.15">
      <c r="B226" s="14"/>
      <c r="C226" s="14"/>
      <c r="D226" s="14"/>
      <c r="E226" s="14"/>
      <c r="F226" s="14"/>
      <c r="G226" s="14"/>
      <c r="H226" s="14"/>
      <c r="I226" s="14"/>
    </row>
    <row r="227" spans="2:9" ht="13" x14ac:dyDescent="0.15">
      <c r="B227" s="14"/>
      <c r="C227" s="14"/>
      <c r="D227" s="14"/>
      <c r="E227" s="14"/>
      <c r="F227" s="14"/>
      <c r="G227" s="14"/>
      <c r="H227" s="14"/>
      <c r="I227" s="14"/>
    </row>
    <row r="228" spans="2:9" ht="13" x14ac:dyDescent="0.15">
      <c r="B228" s="14"/>
      <c r="C228" s="14"/>
      <c r="D228" s="14"/>
      <c r="E228" s="14"/>
      <c r="F228" s="14"/>
      <c r="G228" s="14"/>
      <c r="H228" s="14"/>
      <c r="I228" s="14"/>
    </row>
    <row r="229" spans="2:9" ht="13" x14ac:dyDescent="0.15">
      <c r="B229" s="14"/>
      <c r="C229" s="14"/>
      <c r="D229" s="14"/>
      <c r="E229" s="14"/>
      <c r="F229" s="14"/>
      <c r="G229" s="14"/>
      <c r="H229" s="14"/>
      <c r="I229" s="14"/>
    </row>
    <row r="230" spans="2:9" ht="13" x14ac:dyDescent="0.15">
      <c r="B230" s="14"/>
      <c r="C230" s="14"/>
      <c r="D230" s="14"/>
      <c r="E230" s="14"/>
      <c r="F230" s="14"/>
      <c r="G230" s="14"/>
      <c r="H230" s="14"/>
      <c r="I230" s="14"/>
    </row>
    <row r="231" spans="2:9" ht="13" x14ac:dyDescent="0.15">
      <c r="B231" s="14"/>
      <c r="C231" s="14"/>
      <c r="D231" s="14"/>
      <c r="E231" s="14"/>
      <c r="F231" s="14"/>
      <c r="G231" s="14"/>
      <c r="H231" s="14"/>
      <c r="I231" s="14"/>
    </row>
    <row r="232" spans="2:9" ht="13" x14ac:dyDescent="0.15">
      <c r="B232" s="14"/>
      <c r="C232" s="14"/>
      <c r="D232" s="14"/>
      <c r="E232" s="14"/>
      <c r="F232" s="14"/>
      <c r="G232" s="14"/>
      <c r="H232" s="14"/>
      <c r="I232" s="14"/>
    </row>
    <row r="233" spans="2:9" ht="13" x14ac:dyDescent="0.15">
      <c r="B233" s="14"/>
      <c r="C233" s="14"/>
      <c r="D233" s="14"/>
      <c r="E233" s="14"/>
      <c r="F233" s="14"/>
      <c r="G233" s="14"/>
      <c r="H233" s="14"/>
      <c r="I233" s="14"/>
    </row>
    <row r="234" spans="2:9" ht="13" x14ac:dyDescent="0.15">
      <c r="B234" s="14"/>
      <c r="C234" s="14"/>
      <c r="D234" s="14"/>
      <c r="E234" s="14"/>
      <c r="F234" s="14"/>
      <c r="G234" s="14"/>
      <c r="H234" s="14"/>
      <c r="I234" s="14"/>
    </row>
    <row r="235" spans="2:9" ht="13" x14ac:dyDescent="0.15">
      <c r="B235" s="14"/>
      <c r="C235" s="14"/>
      <c r="D235" s="14"/>
      <c r="E235" s="14"/>
      <c r="F235" s="14"/>
      <c r="G235" s="14"/>
      <c r="H235" s="14"/>
      <c r="I235" s="14"/>
    </row>
    <row r="236" spans="2:9" ht="13" x14ac:dyDescent="0.15">
      <c r="B236" s="14"/>
      <c r="C236" s="14"/>
      <c r="D236" s="14"/>
      <c r="E236" s="14"/>
      <c r="F236" s="14"/>
      <c r="G236" s="14"/>
      <c r="H236" s="14"/>
      <c r="I236" s="14"/>
    </row>
    <row r="237" spans="2:9" ht="13" x14ac:dyDescent="0.15">
      <c r="B237" s="14"/>
      <c r="C237" s="14"/>
      <c r="D237" s="14"/>
      <c r="E237" s="14"/>
      <c r="F237" s="14"/>
      <c r="G237" s="14"/>
      <c r="H237" s="14"/>
      <c r="I237" s="14"/>
    </row>
    <row r="238" spans="2:9" ht="13" x14ac:dyDescent="0.15">
      <c r="B238" s="14"/>
      <c r="C238" s="14"/>
      <c r="D238" s="14"/>
      <c r="E238" s="14"/>
      <c r="F238" s="14"/>
      <c r="G238" s="14"/>
      <c r="H238" s="14"/>
      <c r="I238" s="14"/>
    </row>
    <row r="239" spans="2:9" ht="13" x14ac:dyDescent="0.15">
      <c r="B239" s="14"/>
      <c r="C239" s="14"/>
      <c r="D239" s="14"/>
      <c r="E239" s="14"/>
      <c r="F239" s="14"/>
      <c r="G239" s="14"/>
      <c r="H239" s="14"/>
      <c r="I239" s="14"/>
    </row>
    <row r="240" spans="2:9" ht="13" x14ac:dyDescent="0.15">
      <c r="B240" s="14"/>
      <c r="C240" s="14"/>
      <c r="D240" s="14"/>
      <c r="E240" s="14"/>
      <c r="F240" s="14"/>
      <c r="G240" s="14"/>
      <c r="H240" s="14"/>
      <c r="I240" s="14"/>
    </row>
    <row r="241" spans="2:9" ht="13" x14ac:dyDescent="0.15">
      <c r="B241" s="14"/>
      <c r="C241" s="14"/>
      <c r="D241" s="14"/>
      <c r="E241" s="14"/>
      <c r="F241" s="14"/>
      <c r="G241" s="14"/>
      <c r="H241" s="14"/>
      <c r="I241" s="14"/>
    </row>
    <row r="242" spans="2:9" ht="13" x14ac:dyDescent="0.15">
      <c r="B242" s="14"/>
      <c r="C242" s="14"/>
      <c r="D242" s="14"/>
      <c r="E242" s="14"/>
      <c r="F242" s="14"/>
      <c r="G242" s="14"/>
      <c r="H242" s="14"/>
      <c r="I242" s="14"/>
    </row>
    <row r="243" spans="2:9" ht="13" x14ac:dyDescent="0.15">
      <c r="B243" s="14"/>
      <c r="C243" s="14"/>
      <c r="D243" s="14"/>
      <c r="E243" s="14"/>
      <c r="F243" s="14"/>
      <c r="G243" s="14"/>
      <c r="H243" s="14"/>
      <c r="I243" s="14"/>
    </row>
    <row r="244" spans="2:9" ht="13" x14ac:dyDescent="0.15">
      <c r="B244" s="14"/>
      <c r="C244" s="14"/>
      <c r="D244" s="14"/>
      <c r="E244" s="14"/>
      <c r="F244" s="14"/>
      <c r="G244" s="14"/>
      <c r="H244" s="14"/>
      <c r="I244" s="14"/>
    </row>
    <row r="245" spans="2:9" ht="13" x14ac:dyDescent="0.15">
      <c r="B245" s="14"/>
      <c r="C245" s="14"/>
      <c r="D245" s="14"/>
      <c r="E245" s="14"/>
      <c r="F245" s="14"/>
      <c r="G245" s="14"/>
      <c r="H245" s="14"/>
      <c r="I245" s="14"/>
    </row>
    <row r="246" spans="2:9" ht="13" x14ac:dyDescent="0.15">
      <c r="B246" s="14"/>
      <c r="C246" s="14"/>
      <c r="D246" s="14"/>
      <c r="E246" s="14"/>
      <c r="F246" s="14"/>
      <c r="G246" s="14"/>
      <c r="H246" s="14"/>
      <c r="I246" s="14"/>
    </row>
    <row r="247" spans="2:9" ht="13" x14ac:dyDescent="0.15">
      <c r="B247" s="14"/>
      <c r="C247" s="14"/>
      <c r="D247" s="14"/>
      <c r="E247" s="14"/>
      <c r="F247" s="14"/>
      <c r="G247" s="14"/>
      <c r="H247" s="14"/>
      <c r="I247" s="14"/>
    </row>
    <row r="248" spans="2:9" ht="13" x14ac:dyDescent="0.15">
      <c r="B248" s="14"/>
      <c r="C248" s="14"/>
      <c r="D248" s="14"/>
      <c r="E248" s="14"/>
      <c r="F248" s="14"/>
      <c r="G248" s="14"/>
      <c r="H248" s="14"/>
      <c r="I248" s="14"/>
    </row>
    <row r="249" spans="2:9" ht="13" x14ac:dyDescent="0.15">
      <c r="B249" s="14"/>
      <c r="C249" s="14"/>
      <c r="D249" s="14"/>
      <c r="E249" s="14"/>
      <c r="F249" s="14"/>
      <c r="G249" s="14"/>
      <c r="H249" s="14"/>
      <c r="I249" s="14"/>
    </row>
    <row r="250" spans="2:9" ht="13" x14ac:dyDescent="0.15">
      <c r="B250" s="14"/>
      <c r="C250" s="14"/>
      <c r="D250" s="14"/>
      <c r="E250" s="14"/>
      <c r="F250" s="14"/>
      <c r="G250" s="14"/>
      <c r="H250" s="14"/>
      <c r="I250" s="14"/>
    </row>
    <row r="251" spans="2:9" ht="13" x14ac:dyDescent="0.15">
      <c r="B251" s="14"/>
      <c r="C251" s="14"/>
      <c r="D251" s="14"/>
      <c r="E251" s="14"/>
      <c r="F251" s="14"/>
      <c r="G251" s="14"/>
      <c r="H251" s="14"/>
      <c r="I251" s="14"/>
    </row>
    <row r="252" spans="2:9" ht="13" x14ac:dyDescent="0.15">
      <c r="B252" s="14"/>
      <c r="C252" s="14"/>
      <c r="D252" s="14"/>
      <c r="E252" s="14"/>
      <c r="F252" s="14"/>
      <c r="G252" s="14"/>
      <c r="H252" s="14"/>
      <c r="I252" s="14"/>
    </row>
    <row r="253" spans="2:9" ht="13" x14ac:dyDescent="0.15">
      <c r="B253" s="14"/>
      <c r="C253" s="14"/>
      <c r="D253" s="14"/>
      <c r="E253" s="14"/>
      <c r="F253" s="14"/>
      <c r="G253" s="14"/>
      <c r="H253" s="14"/>
      <c r="I253" s="14"/>
    </row>
    <row r="254" spans="2:9" ht="13" x14ac:dyDescent="0.15">
      <c r="B254" s="14"/>
      <c r="C254" s="14"/>
      <c r="D254" s="14"/>
      <c r="E254" s="14"/>
      <c r="F254" s="14"/>
      <c r="G254" s="14"/>
      <c r="H254" s="14"/>
      <c r="I254" s="14"/>
    </row>
    <row r="255" spans="2:9" ht="13" x14ac:dyDescent="0.15">
      <c r="B255" s="14"/>
      <c r="C255" s="14"/>
      <c r="D255" s="14"/>
      <c r="E255" s="14"/>
      <c r="F255" s="14"/>
      <c r="G255" s="14"/>
      <c r="H255" s="14"/>
      <c r="I255" s="14"/>
    </row>
    <row r="256" spans="2:9" ht="13" x14ac:dyDescent="0.15">
      <c r="B256" s="14"/>
      <c r="C256" s="14"/>
      <c r="D256" s="14"/>
      <c r="E256" s="14"/>
      <c r="F256" s="14"/>
      <c r="G256" s="14"/>
      <c r="H256" s="14"/>
      <c r="I256" s="14"/>
    </row>
    <row r="257" spans="2:9" ht="13" x14ac:dyDescent="0.15">
      <c r="B257" s="14"/>
      <c r="C257" s="14"/>
      <c r="D257" s="14"/>
      <c r="E257" s="14"/>
      <c r="F257" s="14"/>
      <c r="G257" s="14"/>
      <c r="H257" s="14"/>
      <c r="I257" s="14"/>
    </row>
    <row r="258" spans="2:9" ht="13" x14ac:dyDescent="0.15">
      <c r="B258" s="14"/>
      <c r="C258" s="14"/>
      <c r="D258" s="14"/>
      <c r="E258" s="14"/>
      <c r="F258" s="14"/>
      <c r="G258" s="14"/>
      <c r="H258" s="14"/>
      <c r="I258" s="14"/>
    </row>
    <row r="259" spans="2:9" ht="13" x14ac:dyDescent="0.15">
      <c r="B259" s="14"/>
      <c r="C259" s="14"/>
      <c r="D259" s="14"/>
      <c r="E259" s="14"/>
      <c r="F259" s="14"/>
      <c r="G259" s="14"/>
      <c r="H259" s="14"/>
      <c r="I259" s="14"/>
    </row>
    <row r="260" spans="2:9" ht="13" x14ac:dyDescent="0.15">
      <c r="B260" s="14"/>
      <c r="C260" s="14"/>
      <c r="D260" s="14"/>
      <c r="E260" s="14"/>
      <c r="F260" s="14"/>
      <c r="G260" s="14"/>
      <c r="H260" s="14"/>
      <c r="I260" s="14"/>
    </row>
    <row r="261" spans="2:9" ht="13" x14ac:dyDescent="0.15">
      <c r="B261" s="14"/>
      <c r="C261" s="14"/>
      <c r="D261" s="14"/>
      <c r="E261" s="14"/>
      <c r="F261" s="14"/>
      <c r="G261" s="14"/>
      <c r="H261" s="14"/>
      <c r="I261" s="14"/>
    </row>
    <row r="262" spans="2:9" ht="13" x14ac:dyDescent="0.15">
      <c r="B262" s="14"/>
      <c r="C262" s="14"/>
      <c r="D262" s="14"/>
      <c r="E262" s="14"/>
      <c r="F262" s="14"/>
      <c r="G262" s="14"/>
      <c r="H262" s="14"/>
      <c r="I262" s="14"/>
    </row>
    <row r="263" spans="2:9" ht="13" x14ac:dyDescent="0.15">
      <c r="B263" s="14"/>
      <c r="C263" s="14"/>
      <c r="D263" s="14"/>
      <c r="E263" s="14"/>
      <c r="F263" s="14"/>
      <c r="G263" s="14"/>
      <c r="H263" s="14"/>
      <c r="I263" s="14"/>
    </row>
    <row r="264" spans="2:9" ht="13" x14ac:dyDescent="0.15">
      <c r="B264" s="14"/>
      <c r="C264" s="14"/>
      <c r="D264" s="14"/>
      <c r="E264" s="14"/>
      <c r="F264" s="14"/>
      <c r="G264" s="14"/>
      <c r="H264" s="14"/>
      <c r="I264" s="14"/>
    </row>
    <row r="265" spans="2:9" ht="13" x14ac:dyDescent="0.15">
      <c r="B265" s="14"/>
      <c r="C265" s="14"/>
      <c r="D265" s="14"/>
      <c r="E265" s="14"/>
      <c r="F265" s="14"/>
      <c r="G265" s="14"/>
      <c r="H265" s="14"/>
      <c r="I265" s="14"/>
    </row>
    <row r="266" spans="2:9" ht="13" x14ac:dyDescent="0.15">
      <c r="B266" s="14"/>
      <c r="C266" s="14"/>
      <c r="D266" s="14"/>
      <c r="E266" s="14"/>
      <c r="F266" s="14"/>
      <c r="G266" s="14"/>
      <c r="H266" s="14"/>
      <c r="I266" s="14"/>
    </row>
    <row r="267" spans="2:9" ht="13" x14ac:dyDescent="0.15">
      <c r="B267" s="14"/>
      <c r="C267" s="14"/>
      <c r="D267" s="14"/>
      <c r="E267" s="14"/>
      <c r="F267" s="14"/>
      <c r="G267" s="14"/>
      <c r="H267" s="14"/>
      <c r="I267" s="14"/>
    </row>
    <row r="268" spans="2:9" ht="13" x14ac:dyDescent="0.15">
      <c r="B268" s="14"/>
      <c r="C268" s="14"/>
      <c r="D268" s="14"/>
      <c r="E268" s="14"/>
      <c r="F268" s="14"/>
      <c r="G268" s="14"/>
      <c r="H268" s="14"/>
      <c r="I268" s="14"/>
    </row>
    <row r="269" spans="2:9" ht="13" x14ac:dyDescent="0.15">
      <c r="B269" s="14"/>
      <c r="C269" s="14"/>
      <c r="D269" s="14"/>
      <c r="E269" s="14"/>
      <c r="F269" s="14"/>
      <c r="G269" s="14"/>
      <c r="H269" s="14"/>
      <c r="I269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231"/>
  <sheetViews>
    <sheetView workbookViewId="0">
      <selection activeCell="F5" sqref="F5"/>
    </sheetView>
  </sheetViews>
  <sheetFormatPr baseColWidth="10" defaultColWidth="12.6640625" defaultRowHeight="15.75" customHeight="1" x14ac:dyDescent="0.15"/>
  <cols>
    <col min="6" max="6" width="34" customWidth="1"/>
    <col min="7" max="7" width="21.1640625" customWidth="1"/>
    <col min="14" max="14" width="39.1640625" customWidth="1"/>
  </cols>
  <sheetData>
    <row r="1" spans="1:15" ht="15.75" customHeight="1" x14ac:dyDescent="0.15">
      <c r="A1" s="2" t="s">
        <v>502</v>
      </c>
      <c r="B1" s="2" t="s">
        <v>503</v>
      </c>
      <c r="C1" s="2" t="s">
        <v>1692</v>
      </c>
      <c r="D1" s="2" t="s">
        <v>2001</v>
      </c>
      <c r="E1" s="2" t="s">
        <v>505</v>
      </c>
      <c r="F1" s="2" t="s">
        <v>506</v>
      </c>
      <c r="G1" s="2" t="s">
        <v>507</v>
      </c>
      <c r="H1" s="2" t="s">
        <v>508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/>
    </row>
    <row r="2" spans="1:15" ht="15.75" customHeight="1" x14ac:dyDescent="0.15">
      <c r="A2" s="2" t="s">
        <v>2002</v>
      </c>
      <c r="B2" s="2" t="s">
        <v>2003</v>
      </c>
      <c r="C2" s="2" t="s">
        <v>52</v>
      </c>
      <c r="D2" s="2" t="s">
        <v>2004</v>
      </c>
      <c r="E2" s="2" t="s">
        <v>2005</v>
      </c>
      <c r="F2" s="2" t="s">
        <v>2006</v>
      </c>
      <c r="G2" s="2" t="s">
        <v>92</v>
      </c>
      <c r="H2" s="19" t="s">
        <v>2433</v>
      </c>
      <c r="I2" s="2" t="s">
        <v>90</v>
      </c>
      <c r="J2" s="2" t="s">
        <v>91</v>
      </c>
      <c r="K2" s="2" t="s">
        <v>92</v>
      </c>
      <c r="M2" s="2" t="s">
        <v>52</v>
      </c>
      <c r="N2" s="2" t="s">
        <v>93</v>
      </c>
      <c r="O2" s="2"/>
    </row>
    <row r="3" spans="1:15" ht="15.75" customHeight="1" x14ac:dyDescent="0.15">
      <c r="A3" s="2" t="s">
        <v>2002</v>
      </c>
      <c r="B3" s="2" t="s">
        <v>2003</v>
      </c>
      <c r="C3" s="2" t="str">
        <f t="shared" ref="C3:C191" si="0">M3</f>
        <v>prefix</v>
      </c>
      <c r="D3" s="2" t="s">
        <v>2004</v>
      </c>
      <c r="E3" s="2" t="str">
        <f t="shared" ref="E3:E151" si="1">"What is the affix used to inflect the word " &amp; "\" &amp; """" &amp; I3 &amp; "\" &amp; """" &amp; "?"</f>
        <v>What is the affix used to inflect the word \"mandaya\"?</v>
      </c>
      <c r="F3" s="2" t="str">
        <f t="shared" ref="F3:F151" si="2">"Ano ang panlapi na ginamit sa salitang " &amp; "\" &amp; """" &amp; I3 &amp; "\" &amp; """" &amp; "?"</f>
        <v>Ano ang panlapi na ginamit sa salitang \"mandaya\"?</v>
      </c>
      <c r="G3" s="2" t="str">
        <f t="shared" ref="G3:G151" si="3">K3</f>
        <v>mang-</v>
      </c>
      <c r="H3" s="19" t="s">
        <v>2434</v>
      </c>
      <c r="I3" s="2" t="s">
        <v>94</v>
      </c>
      <c r="J3" s="2" t="s">
        <v>95</v>
      </c>
      <c r="K3" s="2" t="s">
        <v>92</v>
      </c>
      <c r="M3" s="2" t="s">
        <v>52</v>
      </c>
      <c r="N3" s="2" t="s">
        <v>93</v>
      </c>
      <c r="O3" s="2"/>
    </row>
    <row r="4" spans="1:15" ht="15.75" customHeight="1" x14ac:dyDescent="0.15">
      <c r="A4" s="2" t="s">
        <v>2002</v>
      </c>
      <c r="B4" s="2" t="s">
        <v>2003</v>
      </c>
      <c r="C4" s="2" t="str">
        <f t="shared" si="0"/>
        <v>prefix</v>
      </c>
      <c r="D4" s="2" t="s">
        <v>2004</v>
      </c>
      <c r="E4" s="2" t="str">
        <f t="shared" si="1"/>
        <v>What is the affix used to inflect the word \"mapanlamang\"?</v>
      </c>
      <c r="F4" s="2" t="str">
        <f t="shared" si="2"/>
        <v>Ano ang panlapi na ginamit sa salitang \"mapanlamang\"?</v>
      </c>
      <c r="G4" s="2" t="str">
        <f t="shared" si="3"/>
        <v>mapang-</v>
      </c>
      <c r="H4" s="19" t="s">
        <v>2435</v>
      </c>
      <c r="I4" s="2" t="s">
        <v>96</v>
      </c>
      <c r="J4" s="2" t="s">
        <v>97</v>
      </c>
      <c r="K4" s="2" t="s">
        <v>98</v>
      </c>
      <c r="M4" s="2" t="s">
        <v>52</v>
      </c>
      <c r="N4" s="2" t="s">
        <v>93</v>
      </c>
      <c r="O4" s="2"/>
    </row>
    <row r="5" spans="1:15" ht="15.75" customHeight="1" x14ac:dyDescent="0.15">
      <c r="A5" s="2" t="s">
        <v>2002</v>
      </c>
      <c r="B5" s="2" t="s">
        <v>2003</v>
      </c>
      <c r="C5" s="2" t="str">
        <f t="shared" si="0"/>
        <v>prefix</v>
      </c>
      <c r="D5" s="2" t="s">
        <v>2004</v>
      </c>
      <c r="E5" s="2" t="str">
        <f t="shared" si="1"/>
        <v>What is the affix used to inflect the word \"pambansa\"?</v>
      </c>
      <c r="F5" s="2" t="str">
        <f t="shared" si="2"/>
        <v>Ano ang panlapi na ginamit sa salitang \"pambansa\"?</v>
      </c>
      <c r="G5" s="2" t="str">
        <f t="shared" si="3"/>
        <v>pang-</v>
      </c>
      <c r="H5" s="19" t="s">
        <v>2436</v>
      </c>
      <c r="I5" s="2" t="s">
        <v>99</v>
      </c>
      <c r="J5" s="2" t="s">
        <v>100</v>
      </c>
      <c r="K5" s="2" t="s">
        <v>101</v>
      </c>
      <c r="M5" s="2" t="s">
        <v>52</v>
      </c>
      <c r="N5" s="2" t="s">
        <v>93</v>
      </c>
      <c r="O5" s="2"/>
    </row>
    <row r="6" spans="1:15" ht="15.75" customHeight="1" x14ac:dyDescent="0.15">
      <c r="A6" s="2" t="s">
        <v>2002</v>
      </c>
      <c r="B6" s="19" t="s">
        <v>2003</v>
      </c>
      <c r="C6" s="2" t="str">
        <f t="shared" si="0"/>
        <v>prefix</v>
      </c>
      <c r="D6" s="2" t="s">
        <v>2004</v>
      </c>
      <c r="E6" s="2" t="str">
        <f t="shared" si="1"/>
        <v>What is the affix used to inflect the word \"pampito\"?</v>
      </c>
      <c r="F6" s="2" t="str">
        <f t="shared" si="2"/>
        <v>Ano ang panlapi na ginamit sa salitang \"pampito\"?</v>
      </c>
      <c r="G6" s="2" t="str">
        <f t="shared" si="3"/>
        <v>pang-</v>
      </c>
      <c r="H6" s="19" t="s">
        <v>2437</v>
      </c>
      <c r="I6" s="2" t="s">
        <v>102</v>
      </c>
      <c r="J6" s="2" t="s">
        <v>103</v>
      </c>
      <c r="K6" s="2" t="s">
        <v>101</v>
      </c>
      <c r="M6" s="2" t="s">
        <v>52</v>
      </c>
      <c r="N6" s="2" t="s">
        <v>93</v>
      </c>
      <c r="O6" s="2"/>
    </row>
    <row r="7" spans="1:15" ht="15.75" customHeight="1" x14ac:dyDescent="0.15">
      <c r="A7" s="2" t="s">
        <v>2002</v>
      </c>
      <c r="B7" s="2" t="s">
        <v>2003</v>
      </c>
      <c r="C7" s="2" t="str">
        <f t="shared" si="0"/>
        <v>prefix</v>
      </c>
      <c r="D7" s="2" t="s">
        <v>2004</v>
      </c>
      <c r="E7" s="2" t="str">
        <f t="shared" si="1"/>
        <v>What is the affix used to inflect the word \"nanlaban\"?</v>
      </c>
      <c r="F7" s="2" t="str">
        <f t="shared" si="2"/>
        <v>Ano ang panlapi na ginamit sa salitang \"nanlaban\"?</v>
      </c>
      <c r="G7" s="2" t="str">
        <f t="shared" si="3"/>
        <v>nang-</v>
      </c>
      <c r="H7" s="19" t="s">
        <v>2438</v>
      </c>
      <c r="I7" s="2" t="s">
        <v>104</v>
      </c>
      <c r="J7" s="2" t="s">
        <v>105</v>
      </c>
      <c r="K7" s="2" t="s">
        <v>106</v>
      </c>
      <c r="L7" s="2"/>
      <c r="M7" s="2" t="s">
        <v>52</v>
      </c>
      <c r="N7" s="2" t="s">
        <v>93</v>
      </c>
      <c r="O7" s="2"/>
    </row>
    <row r="8" spans="1:15" ht="15.75" customHeight="1" x14ac:dyDescent="0.15">
      <c r="A8" s="2" t="s">
        <v>2002</v>
      </c>
      <c r="B8" s="2" t="s">
        <v>2003</v>
      </c>
      <c r="C8" s="2" t="str">
        <f t="shared" si="0"/>
        <v>prefix</v>
      </c>
      <c r="D8" s="2" t="s">
        <v>2004</v>
      </c>
      <c r="E8" s="2" t="str">
        <f t="shared" si="1"/>
        <v>What is the affix used to inflect the word \"ipampinta\"?</v>
      </c>
      <c r="F8" s="2" t="str">
        <f t="shared" si="2"/>
        <v>Ano ang panlapi na ginamit sa salitang \"ipampinta\"?</v>
      </c>
      <c r="G8" s="2" t="str">
        <f t="shared" si="3"/>
        <v>nang-</v>
      </c>
      <c r="H8" s="19" t="s">
        <v>2439</v>
      </c>
      <c r="I8" s="2" t="s">
        <v>107</v>
      </c>
      <c r="J8" s="2" t="s">
        <v>108</v>
      </c>
      <c r="K8" s="2" t="s">
        <v>106</v>
      </c>
      <c r="L8" s="2"/>
      <c r="M8" s="2" t="s">
        <v>52</v>
      </c>
      <c r="N8" s="2" t="s">
        <v>93</v>
      </c>
      <c r="O8" s="2"/>
    </row>
    <row r="9" spans="1:15" ht="15.75" customHeight="1" x14ac:dyDescent="0.15">
      <c r="A9" s="2" t="s">
        <v>2002</v>
      </c>
      <c r="B9" s="2" t="s">
        <v>2003</v>
      </c>
      <c r="C9" s="2" t="str">
        <f t="shared" si="0"/>
        <v>prefix</v>
      </c>
      <c r="D9" s="2" t="s">
        <v>2004</v>
      </c>
      <c r="E9" s="2" t="str">
        <f t="shared" si="1"/>
        <v>What is the affix used to inflect the word \"ipantapal\"?</v>
      </c>
      <c r="F9" s="2" t="str">
        <f>"Ano ang panlapi na ginamit sa salitang " &amp; "\" &amp; """" &amp; I9 &amp; "\" &amp; """" &amp; "?"</f>
        <v>Ano ang panlapi na ginamit sa salitang \"ipantapal\"?</v>
      </c>
      <c r="G9" s="2" t="str">
        <f t="shared" si="3"/>
        <v>ipang-</v>
      </c>
      <c r="H9" s="19" t="s">
        <v>2440</v>
      </c>
      <c r="I9" s="2" t="s">
        <v>109</v>
      </c>
      <c r="J9" s="2" t="s">
        <v>110</v>
      </c>
      <c r="K9" s="2" t="s">
        <v>111</v>
      </c>
      <c r="M9" s="2" t="s">
        <v>52</v>
      </c>
      <c r="N9" s="2" t="s">
        <v>93</v>
      </c>
      <c r="O9" s="2"/>
    </row>
    <row r="10" spans="1:15" ht="15.75" customHeight="1" x14ac:dyDescent="0.15">
      <c r="A10" s="2" t="s">
        <v>2002</v>
      </c>
      <c r="B10" s="2" t="s">
        <v>2003</v>
      </c>
      <c r="C10" s="2" t="str">
        <f t="shared" si="0"/>
        <v>prefix</v>
      </c>
      <c r="D10" s="2" t="s">
        <v>2004</v>
      </c>
      <c r="E10" s="2" t="str">
        <f t="shared" si="1"/>
        <v>What is the affix used to inflect the word \"simbait\"?</v>
      </c>
      <c r="F10" s="2" t="str">
        <f t="shared" si="2"/>
        <v>Ano ang panlapi na ginamit sa salitang \"simbait\"?</v>
      </c>
      <c r="G10" s="2" t="str">
        <f t="shared" si="3"/>
        <v>sing-</v>
      </c>
      <c r="H10" s="19" t="s">
        <v>2441</v>
      </c>
      <c r="I10" s="2" t="s">
        <v>112</v>
      </c>
      <c r="J10" s="2" t="s">
        <v>113</v>
      </c>
      <c r="K10" s="2" t="s">
        <v>114</v>
      </c>
      <c r="M10" s="2" t="s">
        <v>52</v>
      </c>
      <c r="N10" s="2" t="s">
        <v>93</v>
      </c>
      <c r="O10" s="2"/>
    </row>
    <row r="11" spans="1:15" ht="15.75" customHeight="1" x14ac:dyDescent="0.15">
      <c r="A11" s="2" t="s">
        <v>2002</v>
      </c>
      <c r="B11" s="2" t="s">
        <v>2003</v>
      </c>
      <c r="C11" s="2" t="str">
        <f t="shared" si="0"/>
        <v>prefix</v>
      </c>
      <c r="D11" s="2" t="s">
        <v>2004</v>
      </c>
      <c r="E11" s="2" t="str">
        <f t="shared" si="1"/>
        <v>What is the affix used to inflect the word \"sintibay\"?</v>
      </c>
      <c r="F11" s="2" t="str">
        <f t="shared" si="2"/>
        <v>Ano ang panlapi na ginamit sa salitang \"sintibay\"?</v>
      </c>
      <c r="G11" s="2" t="str">
        <f t="shared" si="3"/>
        <v>sing-</v>
      </c>
      <c r="H11" s="19" t="s">
        <v>2442</v>
      </c>
      <c r="I11" s="2" t="s">
        <v>115</v>
      </c>
      <c r="J11" s="2" t="s">
        <v>116</v>
      </c>
      <c r="K11" s="2" t="s">
        <v>114</v>
      </c>
      <c r="M11" s="2" t="s">
        <v>52</v>
      </c>
      <c r="N11" s="2" t="s">
        <v>93</v>
      </c>
      <c r="O11" s="2"/>
    </row>
    <row r="12" spans="1:15" ht="15.75" customHeight="1" x14ac:dyDescent="0.15">
      <c r="A12" s="2" t="s">
        <v>2002</v>
      </c>
      <c r="B12" s="2" t="s">
        <v>2003</v>
      </c>
      <c r="C12" s="2" t="str">
        <f t="shared" si="0"/>
        <v>prefix</v>
      </c>
      <c r="D12" s="2" t="s">
        <v>2007</v>
      </c>
      <c r="E12" s="2" t="str">
        <f t="shared" si="1"/>
        <v>What is the affix used to inflect the word \"panguha\"?</v>
      </c>
      <c r="F12" s="2" t="str">
        <f t="shared" si="2"/>
        <v>Ano ang panlapi na ginamit sa salitang \"panguha\"?</v>
      </c>
      <c r="G12" s="2" t="str">
        <f t="shared" si="3"/>
        <v>pang-</v>
      </c>
      <c r="H12" s="19" t="s">
        <v>2443</v>
      </c>
      <c r="I12" s="2" t="s">
        <v>117</v>
      </c>
      <c r="J12" s="2" t="s">
        <v>118</v>
      </c>
      <c r="K12" s="2" t="s">
        <v>101</v>
      </c>
      <c r="L12" s="2"/>
      <c r="M12" s="2" t="s">
        <v>52</v>
      </c>
      <c r="N12" s="2" t="s">
        <v>119</v>
      </c>
      <c r="O12" s="2"/>
    </row>
    <row r="13" spans="1:15" ht="15.75" customHeight="1" x14ac:dyDescent="0.15">
      <c r="A13" s="2" t="s">
        <v>2002</v>
      </c>
      <c r="B13" s="2" t="s">
        <v>2003</v>
      </c>
      <c r="C13" s="2" t="str">
        <f t="shared" si="0"/>
        <v>prefix</v>
      </c>
      <c r="D13" s="2" t="s">
        <v>2007</v>
      </c>
      <c r="E13" s="2" t="str">
        <f t="shared" si="1"/>
        <v>What is the affix used to inflect the word \"panabas\"?</v>
      </c>
      <c r="F13" s="2" t="str">
        <f t="shared" si="2"/>
        <v>Ano ang panlapi na ginamit sa salitang \"panabas\"?</v>
      </c>
      <c r="G13" s="2" t="str">
        <f t="shared" si="3"/>
        <v>pang-</v>
      </c>
      <c r="H13" s="19" t="s">
        <v>2444</v>
      </c>
      <c r="I13" s="2" t="s">
        <v>120</v>
      </c>
      <c r="J13" s="2" t="s">
        <v>121</v>
      </c>
      <c r="K13" s="2" t="s">
        <v>101</v>
      </c>
      <c r="L13" s="2"/>
      <c r="M13" s="2" t="s">
        <v>52</v>
      </c>
      <c r="N13" s="2" t="s">
        <v>119</v>
      </c>
      <c r="O13" s="2"/>
    </row>
    <row r="14" spans="1:15" ht="15.75" customHeight="1" x14ac:dyDescent="0.15">
      <c r="A14" s="2" t="s">
        <v>2002</v>
      </c>
      <c r="B14" s="2" t="s">
        <v>2003</v>
      </c>
      <c r="C14" s="2" t="str">
        <f t="shared" si="0"/>
        <v>prefix</v>
      </c>
      <c r="D14" s="2" t="s">
        <v>2007</v>
      </c>
      <c r="E14" s="2" t="str">
        <f t="shared" si="1"/>
        <v>What is the affix used to inflect the word \"pamatay\"?</v>
      </c>
      <c r="F14" s="2" t="str">
        <f t="shared" si="2"/>
        <v>Ano ang panlapi na ginamit sa salitang \"pamatay\"?</v>
      </c>
      <c r="G14" s="2" t="str">
        <f t="shared" si="3"/>
        <v>pang-</v>
      </c>
      <c r="H14" s="19" t="s">
        <v>2445</v>
      </c>
      <c r="I14" s="2" t="s">
        <v>122</v>
      </c>
      <c r="J14" s="2" t="s">
        <v>123</v>
      </c>
      <c r="K14" s="2" t="s">
        <v>101</v>
      </c>
      <c r="L14" s="2"/>
      <c r="M14" s="2" t="s">
        <v>52</v>
      </c>
      <c r="N14" s="2" t="s">
        <v>119</v>
      </c>
      <c r="O14" s="2"/>
    </row>
    <row r="15" spans="1:15" ht="15.75" customHeight="1" x14ac:dyDescent="0.15">
      <c r="A15" s="2" t="s">
        <v>2002</v>
      </c>
      <c r="B15" s="2" t="s">
        <v>2003</v>
      </c>
      <c r="C15" s="2" t="str">
        <f t="shared" si="0"/>
        <v>prefix</v>
      </c>
      <c r="D15" s="2" t="s">
        <v>2007</v>
      </c>
      <c r="E15" s="2" t="str">
        <f t="shared" si="1"/>
        <v>What is the affix used to inflect the word \"manahi\"?</v>
      </c>
      <c r="F15" s="2" t="str">
        <f t="shared" si="2"/>
        <v>Ano ang panlapi na ginamit sa salitang \"manahi\"?</v>
      </c>
      <c r="G15" s="2" t="str">
        <f t="shared" si="3"/>
        <v>mang-</v>
      </c>
      <c r="H15" s="19" t="s">
        <v>2446</v>
      </c>
      <c r="I15" s="2" t="s">
        <v>124</v>
      </c>
      <c r="J15" s="2" t="s">
        <v>125</v>
      </c>
      <c r="K15" s="2" t="s">
        <v>92</v>
      </c>
      <c r="L15" s="2"/>
      <c r="M15" s="2" t="s">
        <v>52</v>
      </c>
      <c r="N15" s="2" t="s">
        <v>119</v>
      </c>
      <c r="O15" s="2"/>
    </row>
    <row r="16" spans="1:15" ht="15.75" customHeight="1" x14ac:dyDescent="0.15">
      <c r="A16" s="2" t="s">
        <v>2002</v>
      </c>
      <c r="B16" s="2" t="s">
        <v>2003</v>
      </c>
      <c r="C16" s="2" t="str">
        <f t="shared" si="0"/>
        <v>prefix</v>
      </c>
      <c r="D16" s="2" t="s">
        <v>2007</v>
      </c>
      <c r="E16" s="2" t="str">
        <f t="shared" si="1"/>
        <v>What is the affix used to inflect the word \"maniko\"?</v>
      </c>
      <c r="F16" s="2" t="str">
        <f t="shared" si="2"/>
        <v>Ano ang panlapi na ginamit sa salitang \"maniko\"?</v>
      </c>
      <c r="G16" s="2" t="str">
        <f t="shared" si="3"/>
        <v>mang-</v>
      </c>
      <c r="H16" s="19" t="s">
        <v>2447</v>
      </c>
      <c r="I16" s="2" t="s">
        <v>126</v>
      </c>
      <c r="J16" s="2" t="s">
        <v>127</v>
      </c>
      <c r="K16" s="2" t="s">
        <v>92</v>
      </c>
      <c r="L16" s="2"/>
      <c r="M16" s="2" t="s">
        <v>52</v>
      </c>
      <c r="N16" s="2" t="s">
        <v>119</v>
      </c>
      <c r="O16" s="2"/>
    </row>
    <row r="17" spans="1:15" ht="15.75" customHeight="1" x14ac:dyDescent="0.15">
      <c r="A17" s="2" t="s">
        <v>2002</v>
      </c>
      <c r="B17" s="2" t="s">
        <v>2003</v>
      </c>
      <c r="C17" s="2" t="str">
        <f t="shared" si="0"/>
        <v>prefix</v>
      </c>
      <c r="D17" s="2" t="s">
        <v>2007</v>
      </c>
      <c r="E17" s="2" t="str">
        <f t="shared" si="1"/>
        <v>What is the affix used to inflect the word \"mamuksa\"?</v>
      </c>
      <c r="F17" s="2" t="str">
        <f t="shared" si="2"/>
        <v>Ano ang panlapi na ginamit sa salitang \"mamuksa\"?</v>
      </c>
      <c r="G17" s="2" t="str">
        <f t="shared" si="3"/>
        <v>mang-</v>
      </c>
      <c r="H17" s="19" t="s">
        <v>2448</v>
      </c>
      <c r="I17" s="2" t="s">
        <v>128</v>
      </c>
      <c r="J17" s="2" t="s">
        <v>129</v>
      </c>
      <c r="K17" s="2" t="s">
        <v>92</v>
      </c>
      <c r="L17" s="2"/>
      <c r="M17" s="2" t="s">
        <v>52</v>
      </c>
      <c r="N17" s="2" t="s">
        <v>119</v>
      </c>
      <c r="O17" s="2"/>
    </row>
    <row r="18" spans="1:15" ht="15.75" customHeight="1" x14ac:dyDescent="0.15">
      <c r="A18" s="2" t="s">
        <v>2002</v>
      </c>
      <c r="B18" s="2" t="s">
        <v>2003</v>
      </c>
      <c r="C18" s="2" t="str">
        <f t="shared" si="0"/>
        <v>prefix</v>
      </c>
      <c r="D18" s="2" t="s">
        <v>2007</v>
      </c>
      <c r="E18" s="2" t="str">
        <f t="shared" si="1"/>
        <v>What is the affix used to inflect the word \"nanampal\"?</v>
      </c>
      <c r="F18" s="2" t="str">
        <f t="shared" si="2"/>
        <v>Ano ang panlapi na ginamit sa salitang \"nanampal\"?</v>
      </c>
      <c r="G18" s="2" t="str">
        <f t="shared" si="3"/>
        <v>nang-</v>
      </c>
      <c r="H18" s="19" t="s">
        <v>2449</v>
      </c>
      <c r="I18" s="2" t="s">
        <v>130</v>
      </c>
      <c r="J18" s="2" t="s">
        <v>131</v>
      </c>
      <c r="K18" s="2" t="s">
        <v>106</v>
      </c>
      <c r="L18" s="2"/>
      <c r="M18" s="2" t="s">
        <v>52</v>
      </c>
      <c r="N18" s="2" t="s">
        <v>119</v>
      </c>
      <c r="O18" s="2"/>
    </row>
    <row r="19" spans="1:15" ht="15.75" customHeight="1" x14ac:dyDescent="0.15">
      <c r="A19" s="2" t="s">
        <v>2002</v>
      </c>
      <c r="B19" s="2" t="s">
        <v>2003</v>
      </c>
      <c r="C19" s="2" t="str">
        <f t="shared" si="0"/>
        <v>prefix</v>
      </c>
      <c r="D19" s="2" t="s">
        <v>2007</v>
      </c>
      <c r="E19" s="2" t="str">
        <f t="shared" si="1"/>
        <v>What is the affix used to inflect the word \"namigay\"?</v>
      </c>
      <c r="F19" s="2" t="str">
        <f t="shared" si="2"/>
        <v>Ano ang panlapi na ginamit sa salitang \"namigay\"?</v>
      </c>
      <c r="G19" s="2" t="str">
        <f t="shared" si="3"/>
        <v>nang-</v>
      </c>
      <c r="H19" s="19" t="s">
        <v>2450</v>
      </c>
      <c r="I19" s="2" t="s">
        <v>132</v>
      </c>
      <c r="J19" s="2" t="s">
        <v>133</v>
      </c>
      <c r="K19" s="2" t="s">
        <v>106</v>
      </c>
      <c r="L19" s="2"/>
      <c r="M19" s="2" t="s">
        <v>52</v>
      </c>
      <c r="N19" s="2" t="s">
        <v>119</v>
      </c>
      <c r="O19" s="2"/>
    </row>
    <row r="20" spans="1:15" ht="15.75" customHeight="1" x14ac:dyDescent="0.15">
      <c r="A20" s="2" t="s">
        <v>2002</v>
      </c>
      <c r="B20" s="2" t="s">
        <v>2003</v>
      </c>
      <c r="C20" s="2" t="str">
        <f t="shared" si="0"/>
        <v>prefix</v>
      </c>
      <c r="D20" s="2" t="s">
        <v>2007</v>
      </c>
      <c r="E20" s="2" t="str">
        <f t="shared" si="1"/>
        <v>What is the affix used to inflect the word \"namalo\"?</v>
      </c>
      <c r="F20" s="2" t="str">
        <f t="shared" si="2"/>
        <v>Ano ang panlapi na ginamit sa salitang \"namalo\"?</v>
      </c>
      <c r="G20" s="2" t="str">
        <f t="shared" si="3"/>
        <v>nang-</v>
      </c>
      <c r="H20" s="19" t="s">
        <v>2451</v>
      </c>
      <c r="I20" s="2" t="s">
        <v>134</v>
      </c>
      <c r="J20" s="2" t="s">
        <v>135</v>
      </c>
      <c r="K20" s="2" t="s">
        <v>106</v>
      </c>
      <c r="L20" s="2"/>
      <c r="M20" s="2" t="s">
        <v>52</v>
      </c>
      <c r="N20" s="2" t="s">
        <v>119</v>
      </c>
      <c r="O20" s="2"/>
    </row>
    <row r="21" spans="1:15" ht="15.75" customHeight="1" x14ac:dyDescent="0.15">
      <c r="A21" s="2" t="s">
        <v>2002</v>
      </c>
      <c r="B21" s="2" t="s">
        <v>2003</v>
      </c>
      <c r="C21" s="2" t="str">
        <f t="shared" si="0"/>
        <v>prefix</v>
      </c>
      <c r="D21" s="2" t="s">
        <v>2007</v>
      </c>
      <c r="E21" s="2" t="str">
        <f t="shared" si="1"/>
        <v>What is the affix used to inflect the word \"mapanakit\"?</v>
      </c>
      <c r="F21" s="2" t="str">
        <f t="shared" si="2"/>
        <v>Ano ang panlapi na ginamit sa salitang \"mapanakit\"?</v>
      </c>
      <c r="G21" s="2" t="str">
        <f t="shared" si="3"/>
        <v>mapang-</v>
      </c>
      <c r="H21" s="19" t="s">
        <v>2452</v>
      </c>
      <c r="I21" s="2" t="s">
        <v>136</v>
      </c>
      <c r="J21" s="2" t="s">
        <v>137</v>
      </c>
      <c r="K21" s="2" t="s">
        <v>98</v>
      </c>
      <c r="L21" s="2"/>
      <c r="M21" s="2" t="s">
        <v>52</v>
      </c>
      <c r="N21" s="2" t="s">
        <v>119</v>
      </c>
      <c r="O21" s="2"/>
    </row>
    <row r="22" spans="1:15" ht="15.75" customHeight="1" x14ac:dyDescent="0.15">
      <c r="A22" s="2" t="s">
        <v>2002</v>
      </c>
      <c r="B22" s="2" t="s">
        <v>2003</v>
      </c>
      <c r="C22" s="2" t="str">
        <f t="shared" si="0"/>
        <v>prefix</v>
      </c>
      <c r="D22" s="2" t="s">
        <v>2008</v>
      </c>
      <c r="E22" s="2" t="str">
        <f t="shared" si="1"/>
        <v>What is the affix used to inflect the word \"marapat\"?</v>
      </c>
      <c r="F22" s="2" t="str">
        <f t="shared" si="2"/>
        <v>Ano ang panlapi na ginamit sa salitang \"marapat\"?</v>
      </c>
      <c r="G22" s="2" t="str">
        <f t="shared" si="3"/>
        <v>ma-</v>
      </c>
      <c r="H22" s="19" t="s">
        <v>2453</v>
      </c>
      <c r="I22" s="2" t="s">
        <v>138</v>
      </c>
      <c r="J22" s="2" t="s">
        <v>139</v>
      </c>
      <c r="K22" s="2" t="s">
        <v>140</v>
      </c>
      <c r="L22" s="2"/>
      <c r="M22" s="2" t="s">
        <v>52</v>
      </c>
      <c r="N22" s="2" t="s">
        <v>141</v>
      </c>
      <c r="O22" s="2"/>
    </row>
    <row r="23" spans="1:15" ht="15.75" customHeight="1" x14ac:dyDescent="0.15">
      <c r="A23" s="2" t="s">
        <v>2002</v>
      </c>
      <c r="B23" s="2" t="s">
        <v>2003</v>
      </c>
      <c r="C23" s="2" t="str">
        <f t="shared" si="0"/>
        <v>prefix</v>
      </c>
      <c r="D23" s="2" t="s">
        <v>2008</v>
      </c>
      <c r="E23" s="2" t="str">
        <f t="shared" si="1"/>
        <v>What is the affix used to inflect the word \"marunong\"?</v>
      </c>
      <c r="F23" s="2" t="str">
        <f t="shared" si="2"/>
        <v>Ano ang panlapi na ginamit sa salitang \"marunong\"?</v>
      </c>
      <c r="G23" s="2" t="str">
        <f t="shared" si="3"/>
        <v>ma-</v>
      </c>
      <c r="H23" s="19" t="s">
        <v>2454</v>
      </c>
      <c r="I23" s="2" t="s">
        <v>142</v>
      </c>
      <c r="J23" s="2" t="s">
        <v>143</v>
      </c>
      <c r="K23" s="2" t="s">
        <v>140</v>
      </c>
      <c r="L23" s="2"/>
      <c r="M23" s="2" t="s">
        <v>52</v>
      </c>
      <c r="N23" s="2" t="s">
        <v>141</v>
      </c>
      <c r="O23" s="2"/>
    </row>
    <row r="24" spans="1:15" ht="15.75" customHeight="1" x14ac:dyDescent="0.15">
      <c r="A24" s="2" t="s">
        <v>2002</v>
      </c>
      <c r="B24" s="2" t="s">
        <v>2003</v>
      </c>
      <c r="C24" s="2" t="str">
        <f t="shared" si="0"/>
        <v>prefix</v>
      </c>
      <c r="D24" s="2" t="s">
        <v>2008</v>
      </c>
      <c r="E24" s="2" t="str">
        <f t="shared" si="1"/>
        <v>What is the affix used to inflect the word \"marangal\"?</v>
      </c>
      <c r="F24" s="2" t="str">
        <f t="shared" si="2"/>
        <v>Ano ang panlapi na ginamit sa salitang \"marangal\"?</v>
      </c>
      <c r="G24" s="2" t="str">
        <f t="shared" si="3"/>
        <v>ma-</v>
      </c>
      <c r="H24" s="19" t="s">
        <v>2455</v>
      </c>
      <c r="I24" s="2" t="s">
        <v>144</v>
      </c>
      <c r="J24" s="2" t="s">
        <v>145</v>
      </c>
      <c r="K24" s="2" t="s">
        <v>140</v>
      </c>
      <c r="L24" s="2"/>
      <c r="M24" s="2" t="s">
        <v>52</v>
      </c>
      <c r="N24" s="2" t="s">
        <v>141</v>
      </c>
      <c r="O24" s="2"/>
    </row>
    <row r="25" spans="1:15" ht="15.75" customHeight="1" x14ac:dyDescent="0.15">
      <c r="A25" s="2" t="s">
        <v>2002</v>
      </c>
      <c r="B25" s="2" t="s">
        <v>2003</v>
      </c>
      <c r="C25" s="2" t="str">
        <f t="shared" si="0"/>
        <v>prefix</v>
      </c>
      <c r="D25" s="2" t="s">
        <v>2008</v>
      </c>
      <c r="E25" s="2" t="str">
        <f t="shared" si="1"/>
        <v>What is the affix used to inflect the word \"maringal\"?</v>
      </c>
      <c r="F25" s="2" t="str">
        <f t="shared" si="2"/>
        <v>Ano ang panlapi na ginamit sa salitang \"maringal\"?</v>
      </c>
      <c r="G25" s="2" t="str">
        <f t="shared" si="3"/>
        <v>ma-</v>
      </c>
      <c r="H25" s="19" t="s">
        <v>2456</v>
      </c>
      <c r="I25" s="2" t="s">
        <v>146</v>
      </c>
      <c r="J25" s="2" t="s">
        <v>147</v>
      </c>
      <c r="K25" s="2" t="s">
        <v>140</v>
      </c>
      <c r="L25" s="2"/>
      <c r="M25" s="2" t="s">
        <v>52</v>
      </c>
      <c r="N25" s="2" t="s">
        <v>141</v>
      </c>
    </row>
    <row r="26" spans="1:15" ht="15.75" customHeight="1" x14ac:dyDescent="0.15">
      <c r="A26" s="2" t="s">
        <v>2002</v>
      </c>
      <c r="B26" s="2" t="s">
        <v>2003</v>
      </c>
      <c r="C26" s="2" t="str">
        <f t="shared" si="0"/>
        <v>prefix</v>
      </c>
      <c r="D26" s="2" t="s">
        <v>2008</v>
      </c>
      <c r="E26" s="2" t="str">
        <f t="shared" si="1"/>
        <v>What is the affix used to inflect the word \"makaraos\"?</v>
      </c>
      <c r="F26" s="2" t="str">
        <f t="shared" si="2"/>
        <v>Ano ang panlapi na ginamit sa salitang \"makaraos\"?</v>
      </c>
      <c r="G26" s="2" t="str">
        <f t="shared" si="3"/>
        <v>maka-</v>
      </c>
      <c r="H26" s="19" t="s">
        <v>2457</v>
      </c>
      <c r="I26" s="2" t="s">
        <v>148</v>
      </c>
      <c r="J26" s="2" t="s">
        <v>149</v>
      </c>
      <c r="K26" s="2" t="s">
        <v>150</v>
      </c>
      <c r="L26" s="2"/>
      <c r="M26" s="2" t="s">
        <v>52</v>
      </c>
      <c r="N26" s="2" t="s">
        <v>141</v>
      </c>
      <c r="O26" s="2"/>
    </row>
    <row r="27" spans="1:15" ht="15.75" customHeight="1" x14ac:dyDescent="0.15">
      <c r="A27" s="2" t="s">
        <v>2002</v>
      </c>
      <c r="B27" s="2" t="s">
        <v>2003</v>
      </c>
      <c r="C27" s="2" t="str">
        <f t="shared" si="0"/>
        <v>prefix</v>
      </c>
      <c r="D27" s="2" t="s">
        <v>2008</v>
      </c>
      <c r="E27" s="2" t="str">
        <f t="shared" si="1"/>
        <v>What is the affix used to inflect the word \"mamasyal\"?</v>
      </c>
      <c r="F27" s="2" t="str">
        <f t="shared" si="2"/>
        <v>Ano ang panlapi na ginamit sa salitang \"mamasyal\"?</v>
      </c>
      <c r="G27" s="2" t="str">
        <f t="shared" si="3"/>
        <v>ma-</v>
      </c>
      <c r="H27" s="19" t="s">
        <v>2458</v>
      </c>
      <c r="I27" s="2" t="s">
        <v>151</v>
      </c>
      <c r="J27" s="2" t="s">
        <v>152</v>
      </c>
      <c r="K27" s="2" t="s">
        <v>140</v>
      </c>
      <c r="L27" s="2"/>
      <c r="M27" s="2" t="s">
        <v>52</v>
      </c>
      <c r="N27" s="2" t="s">
        <v>141</v>
      </c>
    </row>
    <row r="28" spans="1:15" ht="15.75" customHeight="1" x14ac:dyDescent="0.15">
      <c r="A28" s="2" t="s">
        <v>2002</v>
      </c>
      <c r="B28" s="2" t="s">
        <v>2003</v>
      </c>
      <c r="C28" s="2" t="str">
        <f t="shared" si="0"/>
        <v>prefix</v>
      </c>
      <c r="D28" s="2" t="s">
        <v>2008</v>
      </c>
      <c r="E28" s="2" t="str">
        <f t="shared" si="1"/>
        <v>What is the affix used to inflect the word \"namula\"?</v>
      </c>
      <c r="F28" s="2" t="str">
        <f t="shared" si="2"/>
        <v>Ano ang panlapi na ginamit sa salitang \"namula\"?</v>
      </c>
      <c r="G28" s="2" t="str">
        <f t="shared" si="3"/>
        <v>na-</v>
      </c>
      <c r="H28" s="19" t="s">
        <v>2459</v>
      </c>
      <c r="I28" s="2" t="s">
        <v>153</v>
      </c>
      <c r="J28" s="2" t="s">
        <v>154</v>
      </c>
      <c r="K28" s="2" t="s">
        <v>155</v>
      </c>
      <c r="L28" s="2"/>
      <c r="M28" s="2" t="s">
        <v>52</v>
      </c>
      <c r="N28" s="2" t="s">
        <v>141</v>
      </c>
      <c r="O28" s="2"/>
    </row>
    <row r="29" spans="1:15" ht="15.75" customHeight="1" x14ac:dyDescent="0.15">
      <c r="A29" s="2" t="s">
        <v>2002</v>
      </c>
      <c r="B29" s="2" t="s">
        <v>2003</v>
      </c>
      <c r="C29" s="2" t="str">
        <f t="shared" si="0"/>
        <v>prefix</v>
      </c>
      <c r="D29" s="2" t="s">
        <v>2008</v>
      </c>
      <c r="E29" s="2" t="str">
        <f t="shared" si="1"/>
        <v>What is the affix used to inflect the word \"namutla\"?</v>
      </c>
      <c r="F29" s="2" t="str">
        <f t="shared" si="2"/>
        <v>Ano ang panlapi na ginamit sa salitang \"namutla\"?</v>
      </c>
      <c r="G29" s="2" t="str">
        <f t="shared" si="3"/>
        <v>na-</v>
      </c>
      <c r="H29" s="19" t="s">
        <v>2460</v>
      </c>
      <c r="I29" s="2" t="s">
        <v>156</v>
      </c>
      <c r="J29" s="2" t="s">
        <v>157</v>
      </c>
      <c r="K29" s="2" t="s">
        <v>155</v>
      </c>
      <c r="L29" s="2"/>
      <c r="M29" s="2" t="s">
        <v>52</v>
      </c>
      <c r="N29" s="2" t="s">
        <v>141</v>
      </c>
      <c r="O29" s="2"/>
    </row>
    <row r="30" spans="1:15" ht="15.75" customHeight="1" x14ac:dyDescent="0.15">
      <c r="A30" s="2" t="s">
        <v>2002</v>
      </c>
      <c r="B30" s="2" t="s">
        <v>2003</v>
      </c>
      <c r="C30" s="2" t="str">
        <f t="shared" si="0"/>
        <v>prefix</v>
      </c>
      <c r="D30" s="2" t="s">
        <v>2008</v>
      </c>
      <c r="E30" s="2" t="str">
        <f t="shared" si="1"/>
        <v>What is the affix used to inflect the word \"namayat\"?</v>
      </c>
      <c r="F30" s="2" t="str">
        <f t="shared" si="2"/>
        <v>Ano ang panlapi na ginamit sa salitang \"namayat\"?</v>
      </c>
      <c r="G30" s="2" t="str">
        <f t="shared" si="3"/>
        <v>na-</v>
      </c>
      <c r="H30" s="19" t="s">
        <v>2461</v>
      </c>
      <c r="I30" s="2" t="s">
        <v>158</v>
      </c>
      <c r="J30" s="2" t="s">
        <v>159</v>
      </c>
      <c r="K30" s="2" t="s">
        <v>155</v>
      </c>
      <c r="L30" s="2"/>
      <c r="M30" s="2" t="s">
        <v>52</v>
      </c>
      <c r="N30" s="2" t="s">
        <v>141</v>
      </c>
      <c r="O30" s="2"/>
    </row>
    <row r="31" spans="1:15" ht="15.75" customHeight="1" x14ac:dyDescent="0.15">
      <c r="A31" s="2" t="s">
        <v>2002</v>
      </c>
      <c r="B31" s="2" t="s">
        <v>2003</v>
      </c>
      <c r="C31" s="2" t="str">
        <f t="shared" si="0"/>
        <v>prefix</v>
      </c>
      <c r="D31" s="2" t="s">
        <v>2008</v>
      </c>
      <c r="E31" s="2" t="str">
        <f t="shared" si="1"/>
        <v>What is the affix used to inflect the word \"manaon\"?</v>
      </c>
      <c r="F31" s="2" t="str">
        <f t="shared" si="2"/>
        <v>Ano ang panlapi na ginamit sa salitang \"manaon\"?</v>
      </c>
      <c r="G31" s="2" t="str">
        <f t="shared" si="3"/>
        <v>ma-</v>
      </c>
      <c r="H31" s="19" t="s">
        <v>2462</v>
      </c>
      <c r="I31" s="2" t="s">
        <v>160</v>
      </c>
      <c r="J31" s="2" t="s">
        <v>161</v>
      </c>
      <c r="K31" s="2" t="s">
        <v>140</v>
      </c>
      <c r="L31" s="2"/>
      <c r="M31" s="2" t="s">
        <v>52</v>
      </c>
      <c r="N31" s="2" t="s">
        <v>141</v>
      </c>
      <c r="O31" s="2"/>
    </row>
    <row r="32" spans="1:15" ht="15.75" customHeight="1" x14ac:dyDescent="0.15">
      <c r="A32" s="2" t="s">
        <v>2002</v>
      </c>
      <c r="B32" s="2" t="s">
        <v>2003</v>
      </c>
      <c r="C32" s="2" t="str">
        <f t="shared" si="0"/>
        <v>prefix</v>
      </c>
      <c r="D32" s="2" t="s">
        <v>2009</v>
      </c>
      <c r="E32" s="2" t="str">
        <f t="shared" si="1"/>
        <v>What is the affix used to inflect the word \"uminom\"?</v>
      </c>
      <c r="F32" s="2" t="str">
        <f t="shared" si="2"/>
        <v>Ano ang panlapi na ginamit sa salitang \"uminom\"?</v>
      </c>
      <c r="G32" s="2" t="str">
        <f t="shared" si="3"/>
        <v>um-</v>
      </c>
      <c r="H32" s="19" t="s">
        <v>2463</v>
      </c>
      <c r="I32" s="2" t="s">
        <v>162</v>
      </c>
      <c r="J32" s="2" t="s">
        <v>163</v>
      </c>
      <c r="K32" s="2" t="s">
        <v>164</v>
      </c>
      <c r="L32" s="2"/>
      <c r="M32" s="2" t="s">
        <v>52</v>
      </c>
      <c r="N32" s="2" t="s">
        <v>165</v>
      </c>
      <c r="O32" s="2"/>
    </row>
    <row r="33" spans="1:15" ht="15.75" customHeight="1" x14ac:dyDescent="0.15">
      <c r="A33" s="2" t="s">
        <v>2002</v>
      </c>
      <c r="B33" s="2" t="s">
        <v>2003</v>
      </c>
      <c r="C33" s="2" t="str">
        <f t="shared" si="0"/>
        <v>prefix</v>
      </c>
      <c r="D33" s="2" t="s">
        <v>2009</v>
      </c>
      <c r="E33" s="2" t="str">
        <f t="shared" si="1"/>
        <v>What is the affix used to inflect the word \"mag-aral\"?</v>
      </c>
      <c r="F33" s="2" t="str">
        <f t="shared" si="2"/>
        <v>Ano ang panlapi na ginamit sa salitang \"mag-aral\"?</v>
      </c>
      <c r="G33" s="2" t="str">
        <f t="shared" si="3"/>
        <v>mag-</v>
      </c>
      <c r="H33" s="19" t="s">
        <v>2464</v>
      </c>
      <c r="I33" s="2" t="s">
        <v>167</v>
      </c>
      <c r="J33" s="2" t="s">
        <v>168</v>
      </c>
      <c r="K33" s="2" t="s">
        <v>169</v>
      </c>
      <c r="L33" s="2"/>
      <c r="M33" s="2" t="s">
        <v>52</v>
      </c>
      <c r="N33" s="2" t="s">
        <v>165</v>
      </c>
      <c r="O33" s="2"/>
    </row>
    <row r="34" spans="1:15" ht="15.75" customHeight="1" x14ac:dyDescent="0.15">
      <c r="A34" s="2" t="s">
        <v>2002</v>
      </c>
      <c r="B34" s="2" t="s">
        <v>2003</v>
      </c>
      <c r="C34" s="2" t="str">
        <f t="shared" si="0"/>
        <v>prefix</v>
      </c>
      <c r="D34" s="2" t="s">
        <v>2009</v>
      </c>
      <c r="E34" s="2" t="str">
        <f t="shared" si="1"/>
        <v>What is the affix used to inflect the word \"nagbasketbol\"?</v>
      </c>
      <c r="F34" s="2" t="str">
        <f t="shared" si="2"/>
        <v>Ano ang panlapi na ginamit sa salitang \"nagbasketbol\"?</v>
      </c>
      <c r="G34" s="2" t="str">
        <f t="shared" si="3"/>
        <v>nag-</v>
      </c>
      <c r="H34" s="19" t="s">
        <v>2465</v>
      </c>
      <c r="I34" s="2" t="s">
        <v>170</v>
      </c>
      <c r="J34" s="2" t="s">
        <v>171</v>
      </c>
      <c r="K34" s="2" t="s">
        <v>172</v>
      </c>
      <c r="L34" s="2"/>
      <c r="M34" s="2" t="s">
        <v>52</v>
      </c>
      <c r="N34" s="2" t="s">
        <v>165</v>
      </c>
      <c r="O34" s="2"/>
    </row>
    <row r="35" spans="1:15" ht="15.75" customHeight="1" x14ac:dyDescent="0.15">
      <c r="A35" s="2" t="s">
        <v>2002</v>
      </c>
      <c r="B35" s="2" t="s">
        <v>2003</v>
      </c>
      <c r="C35" s="2" t="str">
        <f t="shared" si="0"/>
        <v>prefix</v>
      </c>
      <c r="D35" s="2" t="s">
        <v>2009</v>
      </c>
      <c r="E35" s="2" t="str">
        <f t="shared" si="1"/>
        <v>What is the affix used to inflect the word \"malingat\"?</v>
      </c>
      <c r="F35" s="2" t="str">
        <f t="shared" si="2"/>
        <v>Ano ang panlapi na ginamit sa salitang \"malingat\"?</v>
      </c>
      <c r="G35" s="2" t="str">
        <f t="shared" si="3"/>
        <v>ma-</v>
      </c>
      <c r="H35" s="19" t="s">
        <v>2466</v>
      </c>
      <c r="I35" s="2" t="s">
        <v>173</v>
      </c>
      <c r="J35" s="2" t="s">
        <v>174</v>
      </c>
      <c r="K35" s="2" t="s">
        <v>140</v>
      </c>
      <c r="L35" s="2"/>
      <c r="M35" s="2" t="s">
        <v>52</v>
      </c>
      <c r="N35" s="2" t="s">
        <v>165</v>
      </c>
      <c r="O35" s="2"/>
    </row>
    <row r="36" spans="1:15" ht="15.75" customHeight="1" x14ac:dyDescent="0.15">
      <c r="A36" s="2" t="s">
        <v>2002</v>
      </c>
      <c r="B36" s="2" t="s">
        <v>2003</v>
      </c>
      <c r="C36" s="2" t="str">
        <f t="shared" si="0"/>
        <v>prefix</v>
      </c>
      <c r="D36" s="2" t="s">
        <v>2009</v>
      </c>
      <c r="E36" s="2" t="str">
        <f t="shared" si="1"/>
        <v>What is the affix used to inflect the word \"inayos\"?</v>
      </c>
      <c r="F36" s="2" t="str">
        <f t="shared" si="2"/>
        <v>Ano ang panlapi na ginamit sa salitang \"inayos\"?</v>
      </c>
      <c r="G36" s="2" t="str">
        <f t="shared" si="3"/>
        <v>in-</v>
      </c>
      <c r="H36" s="19" t="s">
        <v>2467</v>
      </c>
      <c r="I36" s="2" t="s">
        <v>175</v>
      </c>
      <c r="J36" s="2" t="s">
        <v>176</v>
      </c>
      <c r="K36" s="2" t="s">
        <v>177</v>
      </c>
      <c r="L36" s="2"/>
      <c r="M36" s="2" t="s">
        <v>52</v>
      </c>
      <c r="N36" s="2" t="s">
        <v>165</v>
      </c>
      <c r="O36" s="2"/>
    </row>
    <row r="37" spans="1:15" ht="15.75" customHeight="1" x14ac:dyDescent="0.15">
      <c r="A37" s="2" t="s">
        <v>2002</v>
      </c>
      <c r="B37" s="2" t="s">
        <v>2003</v>
      </c>
      <c r="C37" s="2" t="str">
        <f t="shared" si="0"/>
        <v>prefix</v>
      </c>
      <c r="D37" s="2" t="s">
        <v>2009</v>
      </c>
      <c r="E37" s="2" t="str">
        <f t="shared" si="1"/>
        <v>What is the affix used to inflect the word \"ipaghanda\"?</v>
      </c>
      <c r="F37" s="2" t="str">
        <f t="shared" si="2"/>
        <v>Ano ang panlapi na ginamit sa salitang \"ipaghanda\"?</v>
      </c>
      <c r="G37" s="2" t="str">
        <f t="shared" si="3"/>
        <v>ipag-</v>
      </c>
      <c r="H37" s="19" t="s">
        <v>2468</v>
      </c>
      <c r="I37" s="2" t="s">
        <v>178</v>
      </c>
      <c r="J37" s="2" t="s">
        <v>179</v>
      </c>
      <c r="K37" s="2" t="s">
        <v>180</v>
      </c>
      <c r="L37" s="2"/>
      <c r="M37" s="2" t="s">
        <v>52</v>
      </c>
      <c r="N37" s="2" t="s">
        <v>165</v>
      </c>
      <c r="O37" s="2"/>
    </row>
    <row r="38" spans="1:15" ht="15.75" customHeight="1" x14ac:dyDescent="0.15">
      <c r="A38" s="2" t="s">
        <v>2002</v>
      </c>
      <c r="B38" s="2" t="s">
        <v>2003</v>
      </c>
      <c r="C38" s="2" t="str">
        <f t="shared" si="0"/>
        <v>prefix</v>
      </c>
      <c r="D38" s="2" t="s">
        <v>2009</v>
      </c>
      <c r="E38" s="2" t="str">
        <f t="shared" si="1"/>
        <v>What is the affix used to inflect the word \"ikabahala\"?</v>
      </c>
      <c r="F38" s="2" t="str">
        <f t="shared" si="2"/>
        <v>Ano ang panlapi na ginamit sa salitang \"ikabahala\"?</v>
      </c>
      <c r="G38" s="2" t="str">
        <f t="shared" si="3"/>
        <v>ika-</v>
      </c>
      <c r="H38" s="19" t="s">
        <v>2469</v>
      </c>
      <c r="I38" s="2" t="s">
        <v>181</v>
      </c>
      <c r="J38" s="2" t="s">
        <v>182</v>
      </c>
      <c r="K38" s="2" t="s">
        <v>183</v>
      </c>
      <c r="L38" s="2"/>
      <c r="M38" s="2" t="s">
        <v>52</v>
      </c>
      <c r="N38" s="2" t="s">
        <v>165</v>
      </c>
      <c r="O38" s="2"/>
    </row>
    <row r="39" spans="1:15" ht="15.75" customHeight="1" x14ac:dyDescent="0.15">
      <c r="A39" s="2" t="s">
        <v>2002</v>
      </c>
      <c r="B39" s="2" t="s">
        <v>2003</v>
      </c>
      <c r="C39" s="2" t="str">
        <f t="shared" si="0"/>
        <v>prefix</v>
      </c>
      <c r="D39" s="2" t="s">
        <v>2009</v>
      </c>
      <c r="E39" s="2" t="str">
        <f t="shared" si="1"/>
        <v>What is the affix used to inflect the word \"nakalimot\"?</v>
      </c>
      <c r="F39" s="2" t="str">
        <f t="shared" si="2"/>
        <v>Ano ang panlapi na ginamit sa salitang \"nakalimot\"?</v>
      </c>
      <c r="G39" s="2" t="str">
        <f t="shared" si="3"/>
        <v>na-</v>
      </c>
      <c r="H39" s="19" t="s">
        <v>2470</v>
      </c>
      <c r="I39" s="2" t="s">
        <v>184</v>
      </c>
      <c r="J39" s="2" t="s">
        <v>185</v>
      </c>
      <c r="K39" s="2" t="s">
        <v>155</v>
      </c>
      <c r="L39" s="2"/>
      <c r="M39" s="2" t="s">
        <v>52</v>
      </c>
      <c r="N39" s="2" t="s">
        <v>165</v>
      </c>
      <c r="O39" s="2"/>
    </row>
    <row r="40" spans="1:15" ht="15.75" customHeight="1" x14ac:dyDescent="0.15">
      <c r="A40" s="2" t="s">
        <v>2002</v>
      </c>
      <c r="B40" s="2" t="s">
        <v>2003</v>
      </c>
      <c r="C40" s="2" t="str">
        <f t="shared" si="0"/>
        <v>prefix</v>
      </c>
      <c r="D40" s="2" t="s">
        <v>2009</v>
      </c>
      <c r="E40" s="2" t="str">
        <f t="shared" si="1"/>
        <v>What is the affix used to inflect the word \"makiligo\"?</v>
      </c>
      <c r="F40" s="2" t="str">
        <f t="shared" si="2"/>
        <v>Ano ang panlapi na ginamit sa salitang \"makiligo\"?</v>
      </c>
      <c r="G40" s="2" t="str">
        <f t="shared" si="3"/>
        <v>maki-</v>
      </c>
      <c r="H40" s="19" t="s">
        <v>2471</v>
      </c>
      <c r="I40" s="2" t="s">
        <v>186</v>
      </c>
      <c r="J40" s="2" t="s">
        <v>187</v>
      </c>
      <c r="K40" s="2" t="s">
        <v>188</v>
      </c>
      <c r="L40" s="2"/>
      <c r="M40" s="2" t="s">
        <v>52</v>
      </c>
      <c r="N40" s="2" t="s">
        <v>165</v>
      </c>
      <c r="O40" s="2"/>
    </row>
    <row r="41" spans="1:15" ht="15.75" customHeight="1" x14ac:dyDescent="0.15">
      <c r="A41" s="2" t="s">
        <v>2002</v>
      </c>
      <c r="B41" s="2" t="s">
        <v>2003</v>
      </c>
      <c r="C41" s="2" t="str">
        <f t="shared" si="0"/>
        <v>prefix</v>
      </c>
      <c r="D41" s="2" t="s">
        <v>2009</v>
      </c>
      <c r="E41" s="2" t="str">
        <f t="shared" si="1"/>
        <v>What is the affix used to inflect the word \"nakikanta\"?</v>
      </c>
      <c r="F41" s="2" t="str">
        <f t="shared" si="2"/>
        <v>Ano ang panlapi na ginamit sa salitang \"nakikanta\"?</v>
      </c>
      <c r="G41" s="2" t="str">
        <f t="shared" si="3"/>
        <v>naki-</v>
      </c>
      <c r="H41" s="19" t="s">
        <v>2472</v>
      </c>
      <c r="I41" s="2" t="s">
        <v>189</v>
      </c>
      <c r="J41" s="2" t="s">
        <v>190</v>
      </c>
      <c r="K41" s="2" t="s">
        <v>191</v>
      </c>
      <c r="L41" s="2"/>
      <c r="M41" s="2" t="s">
        <v>52</v>
      </c>
      <c r="N41" s="2" t="s">
        <v>165</v>
      </c>
      <c r="O41" s="2"/>
    </row>
    <row r="42" spans="1:15" ht="15.75" customHeight="1" x14ac:dyDescent="0.15">
      <c r="A42" s="2" t="s">
        <v>2002</v>
      </c>
      <c r="B42" s="2" t="s">
        <v>2003</v>
      </c>
      <c r="C42" s="2" t="str">
        <f t="shared" si="0"/>
        <v>prefix</v>
      </c>
      <c r="D42" s="2" t="s">
        <v>2009</v>
      </c>
      <c r="E42" s="2" t="str">
        <f t="shared" si="1"/>
        <v>What is the affix used to inflect the word \"makabili\"?</v>
      </c>
      <c r="F42" s="2" t="str">
        <f t="shared" si="2"/>
        <v>Ano ang panlapi na ginamit sa salitang \"makabili\"?</v>
      </c>
      <c r="G42" s="2" t="str">
        <f t="shared" si="3"/>
        <v>maka-</v>
      </c>
      <c r="H42" s="19" t="s">
        <v>2473</v>
      </c>
      <c r="I42" s="2" t="s">
        <v>192</v>
      </c>
      <c r="J42" s="2" t="s">
        <v>193</v>
      </c>
      <c r="K42" s="2" t="s">
        <v>150</v>
      </c>
      <c r="L42" s="2"/>
      <c r="M42" s="2" t="s">
        <v>52</v>
      </c>
      <c r="N42" s="2" t="s">
        <v>165</v>
      </c>
      <c r="O42" s="2"/>
    </row>
    <row r="43" spans="1:15" ht="15.75" customHeight="1" x14ac:dyDescent="0.15">
      <c r="A43" s="2" t="s">
        <v>2002</v>
      </c>
      <c r="B43" s="2" t="s">
        <v>2003</v>
      </c>
      <c r="C43" s="2" t="str">
        <f t="shared" si="0"/>
        <v>prefix</v>
      </c>
      <c r="D43" s="2" t="s">
        <v>2009</v>
      </c>
      <c r="E43" s="2" t="str">
        <f t="shared" si="1"/>
        <v>What is the affix used to inflect the word \"nakasagot\"?</v>
      </c>
      <c r="F43" s="2" t="str">
        <f t="shared" si="2"/>
        <v>Ano ang panlapi na ginamit sa salitang \"nakasagot\"?</v>
      </c>
      <c r="G43" s="2" t="str">
        <f t="shared" si="3"/>
        <v>naka-</v>
      </c>
      <c r="H43" s="19" t="s">
        <v>2474</v>
      </c>
      <c r="I43" s="2" t="s">
        <v>194</v>
      </c>
      <c r="J43" s="2" t="s">
        <v>195</v>
      </c>
      <c r="K43" s="2" t="s">
        <v>196</v>
      </c>
      <c r="L43" s="2"/>
      <c r="M43" s="2" t="s">
        <v>52</v>
      </c>
      <c r="N43" s="2" t="s">
        <v>165</v>
      </c>
      <c r="O43" s="2"/>
    </row>
    <row r="44" spans="1:15" ht="15.75" customHeight="1" x14ac:dyDescent="0.15">
      <c r="A44" s="2" t="s">
        <v>2002</v>
      </c>
      <c r="B44" s="2" t="s">
        <v>2003</v>
      </c>
      <c r="C44" s="2" t="str">
        <f t="shared" si="0"/>
        <v>prefix</v>
      </c>
      <c r="D44" s="2" t="s">
        <v>2009</v>
      </c>
      <c r="E44" s="2" t="str">
        <f t="shared" si="1"/>
        <v>What is the affix used to inflect the word \"makapagluto\"?</v>
      </c>
      <c r="F44" s="2" t="str">
        <f t="shared" si="2"/>
        <v>Ano ang panlapi na ginamit sa salitang \"makapagluto\"?</v>
      </c>
      <c r="G44" s="2" t="str">
        <f t="shared" si="3"/>
        <v>makapag-</v>
      </c>
      <c r="H44" s="19" t="s">
        <v>2475</v>
      </c>
      <c r="I44" s="2" t="s">
        <v>197</v>
      </c>
      <c r="J44" s="2" t="s">
        <v>198</v>
      </c>
      <c r="K44" s="2" t="s">
        <v>199</v>
      </c>
      <c r="L44" s="2"/>
      <c r="M44" s="2" t="s">
        <v>52</v>
      </c>
      <c r="N44" s="2" t="s">
        <v>165</v>
      </c>
      <c r="O44" s="2"/>
    </row>
    <row r="45" spans="1:15" ht="15.75" customHeight="1" x14ac:dyDescent="0.15">
      <c r="A45" s="2" t="s">
        <v>2002</v>
      </c>
      <c r="B45" s="2" t="s">
        <v>2003</v>
      </c>
      <c r="C45" s="2" t="str">
        <f t="shared" si="0"/>
        <v>prefix</v>
      </c>
      <c r="D45" s="2" t="s">
        <v>2009</v>
      </c>
      <c r="E45" s="2" t="str">
        <f t="shared" si="1"/>
        <v>What is the affix used to inflect the word \"nakapaghugas\"?</v>
      </c>
      <c r="F45" s="2" t="str">
        <f t="shared" si="2"/>
        <v>Ano ang panlapi na ginamit sa salitang \"nakapaghugas\"?</v>
      </c>
      <c r="G45" s="2" t="str">
        <f t="shared" si="3"/>
        <v>nakapag-</v>
      </c>
      <c r="H45" s="19" t="s">
        <v>2476</v>
      </c>
      <c r="I45" s="2" t="s">
        <v>200</v>
      </c>
      <c r="J45" s="2" t="s">
        <v>201</v>
      </c>
      <c r="K45" s="2" t="s">
        <v>202</v>
      </c>
      <c r="L45" s="2"/>
      <c r="M45" s="2" t="s">
        <v>52</v>
      </c>
      <c r="N45" s="2" t="s">
        <v>165</v>
      </c>
      <c r="O45" s="2"/>
    </row>
    <row r="46" spans="1:15" ht="15.75" customHeight="1" x14ac:dyDescent="0.15">
      <c r="A46" s="2" t="s">
        <v>2002</v>
      </c>
      <c r="B46" s="2" t="s">
        <v>2003</v>
      </c>
      <c r="C46" s="2" t="str">
        <f t="shared" si="0"/>
        <v>prefix</v>
      </c>
      <c r="D46" s="2" t="s">
        <v>2009</v>
      </c>
      <c r="E46" s="2" t="str">
        <f t="shared" si="1"/>
        <v>What is the affix used to inflect the word \"magpalibre\"?</v>
      </c>
      <c r="F46" s="2" t="str">
        <f t="shared" si="2"/>
        <v>Ano ang panlapi na ginamit sa salitang \"magpalibre\"?</v>
      </c>
      <c r="G46" s="2" t="str">
        <f t="shared" si="3"/>
        <v>magpa-</v>
      </c>
      <c r="H46" s="19" t="s">
        <v>2477</v>
      </c>
      <c r="I46" s="2" t="s">
        <v>203</v>
      </c>
      <c r="J46" s="2" t="s">
        <v>204</v>
      </c>
      <c r="K46" s="2" t="s">
        <v>205</v>
      </c>
      <c r="L46" s="2"/>
      <c r="M46" s="2" t="s">
        <v>52</v>
      </c>
      <c r="N46" s="2" t="s">
        <v>165</v>
      </c>
      <c r="O46" s="2"/>
    </row>
    <row r="47" spans="1:15" ht="15.75" customHeight="1" x14ac:dyDescent="0.15">
      <c r="A47" s="2" t="s">
        <v>2002</v>
      </c>
      <c r="B47" s="2" t="s">
        <v>2003</v>
      </c>
      <c r="C47" s="2" t="str">
        <f t="shared" si="0"/>
        <v>prefix</v>
      </c>
      <c r="D47" s="2" t="s">
        <v>2009</v>
      </c>
      <c r="E47" s="2" t="str">
        <f t="shared" si="1"/>
        <v>What is the affix used to inflect the word \"ipalagay\"?</v>
      </c>
      <c r="F47" s="2" t="str">
        <f t="shared" si="2"/>
        <v>Ano ang panlapi na ginamit sa salitang \"ipalagay\"?</v>
      </c>
      <c r="G47" s="2" t="str">
        <f t="shared" si="3"/>
        <v>ipa-</v>
      </c>
      <c r="H47" s="19" t="s">
        <v>2478</v>
      </c>
      <c r="I47" s="2" t="s">
        <v>206</v>
      </c>
      <c r="J47" s="2" t="s">
        <v>207</v>
      </c>
      <c r="K47" s="2" t="s">
        <v>208</v>
      </c>
      <c r="L47" s="2"/>
      <c r="M47" s="2" t="s">
        <v>52</v>
      </c>
      <c r="N47" s="2" t="s">
        <v>165</v>
      </c>
      <c r="O47" s="2"/>
    </row>
    <row r="48" spans="1:15" ht="15.75" customHeight="1" x14ac:dyDescent="0.15">
      <c r="A48" s="2" t="s">
        <v>2002</v>
      </c>
      <c r="B48" s="2" t="s">
        <v>2003</v>
      </c>
      <c r="C48" s="2" t="str">
        <f t="shared" si="0"/>
        <v>prefix</v>
      </c>
      <c r="D48" s="2" t="s">
        <v>2009</v>
      </c>
      <c r="E48" s="2" t="str">
        <f t="shared" si="1"/>
        <v>What is the affix used to inflect the word \"ipagpalinis\"?</v>
      </c>
      <c r="F48" s="2" t="str">
        <f t="shared" si="2"/>
        <v>Ano ang panlapi na ginamit sa salitang \"ipagpalinis\"?</v>
      </c>
      <c r="G48" s="2" t="str">
        <f t="shared" si="3"/>
        <v>ipagpa-</v>
      </c>
      <c r="H48" s="19" t="s">
        <v>2479</v>
      </c>
      <c r="I48" s="2" t="s">
        <v>209</v>
      </c>
      <c r="J48" s="2" t="s">
        <v>210</v>
      </c>
      <c r="K48" s="2" t="s">
        <v>211</v>
      </c>
      <c r="L48" s="2"/>
      <c r="M48" s="2" t="s">
        <v>52</v>
      </c>
      <c r="N48" s="2" t="s">
        <v>165</v>
      </c>
      <c r="O48" s="2"/>
    </row>
    <row r="49" spans="1:15" ht="15.75" customHeight="1" x14ac:dyDescent="0.15">
      <c r="A49" s="2" t="s">
        <v>2002</v>
      </c>
      <c r="B49" s="2" t="s">
        <v>2003</v>
      </c>
      <c r="C49" s="2" t="str">
        <f t="shared" si="0"/>
        <v>prefix</v>
      </c>
      <c r="D49" s="2" t="s">
        <v>2009</v>
      </c>
      <c r="E49" s="2" t="str">
        <f t="shared" si="1"/>
        <v>What is the affix used to inflect the word \"magkaanak\"?</v>
      </c>
      <c r="F49" s="2" t="str">
        <f t="shared" si="2"/>
        <v>Ano ang panlapi na ginamit sa salitang \"magkaanak\"?</v>
      </c>
      <c r="G49" s="2" t="str">
        <f t="shared" si="3"/>
        <v>magka-</v>
      </c>
      <c r="H49" s="19" t="s">
        <v>2480</v>
      </c>
      <c r="I49" s="2" t="s">
        <v>212</v>
      </c>
      <c r="J49" s="2" t="s">
        <v>213</v>
      </c>
      <c r="K49" s="2" t="s">
        <v>214</v>
      </c>
      <c r="L49" s="2"/>
      <c r="M49" s="2" t="s">
        <v>52</v>
      </c>
      <c r="N49" s="2" t="s">
        <v>165</v>
      </c>
      <c r="O49" s="2"/>
    </row>
    <row r="50" spans="1:15" ht="15.75" customHeight="1" x14ac:dyDescent="0.15">
      <c r="A50" s="2" t="s">
        <v>2002</v>
      </c>
      <c r="B50" s="2" t="s">
        <v>2003</v>
      </c>
      <c r="C50" s="2" t="str">
        <f t="shared" si="0"/>
        <v>prefix</v>
      </c>
      <c r="D50" s="2" t="s">
        <v>2009</v>
      </c>
      <c r="E50" s="2" t="str">
        <f t="shared" si="1"/>
        <v>What is the affix used to inflect the word \"magpakatanga\"?</v>
      </c>
      <c r="F50" s="2" t="str">
        <f t="shared" si="2"/>
        <v>Ano ang panlapi na ginamit sa salitang \"magpakatanga\"?</v>
      </c>
      <c r="G50" s="2" t="str">
        <f t="shared" si="3"/>
        <v>magpaka-</v>
      </c>
      <c r="H50" s="19" t="s">
        <v>2481</v>
      </c>
      <c r="I50" s="2" t="s">
        <v>215</v>
      </c>
      <c r="J50" s="2" t="s">
        <v>216</v>
      </c>
      <c r="K50" s="2" t="s">
        <v>217</v>
      </c>
      <c r="L50" s="2"/>
      <c r="M50" s="2" t="s">
        <v>52</v>
      </c>
      <c r="N50" s="2" t="s">
        <v>165</v>
      </c>
      <c r="O50" s="2"/>
    </row>
    <row r="51" spans="1:15" ht="15.75" customHeight="1" x14ac:dyDescent="0.15">
      <c r="A51" s="2" t="s">
        <v>2002</v>
      </c>
      <c r="B51" s="2" t="s">
        <v>2003</v>
      </c>
      <c r="C51" s="2" t="str">
        <f t="shared" si="0"/>
        <v>prefix</v>
      </c>
      <c r="D51" s="2" t="s">
        <v>2009</v>
      </c>
      <c r="E51" s="2" t="str">
        <f t="shared" si="1"/>
        <v>What is the affix used to inflect the word \"napatawa\"?</v>
      </c>
      <c r="F51" s="2" t="str">
        <f t="shared" si="2"/>
        <v>Ano ang panlapi na ginamit sa salitang \"napatawa\"?</v>
      </c>
      <c r="G51" s="2" t="str">
        <f t="shared" si="3"/>
        <v>napa-</v>
      </c>
      <c r="H51" s="19" t="s">
        <v>2482</v>
      </c>
      <c r="I51" s="2" t="s">
        <v>218</v>
      </c>
      <c r="J51" s="2" t="s">
        <v>219</v>
      </c>
      <c r="K51" s="2" t="s">
        <v>220</v>
      </c>
      <c r="L51" s="2"/>
      <c r="M51" s="2" t="s">
        <v>52</v>
      </c>
      <c r="N51" s="2" t="s">
        <v>165</v>
      </c>
      <c r="O51" s="2"/>
    </row>
    <row r="52" spans="1:15" ht="15.75" customHeight="1" x14ac:dyDescent="0.15">
      <c r="A52" s="2" t="s">
        <v>2002</v>
      </c>
      <c r="B52" s="2" t="s">
        <v>2003</v>
      </c>
      <c r="C52" s="2" t="str">
        <f t="shared" si="0"/>
        <v>suffix</v>
      </c>
      <c r="D52" s="2" t="s">
        <v>2008</v>
      </c>
      <c r="E52" s="2" t="str">
        <f t="shared" si="1"/>
        <v>What is the affix used to inflect the word \"tawaran\"?</v>
      </c>
      <c r="F52" s="2" t="str">
        <f t="shared" si="2"/>
        <v>Ano ang panlapi na ginamit sa salitang \"tawaran\"?</v>
      </c>
      <c r="G52" s="2" t="str">
        <f t="shared" si="3"/>
        <v>-an</v>
      </c>
      <c r="H52" s="19" t="s">
        <v>2483</v>
      </c>
      <c r="I52" s="2" t="s">
        <v>221</v>
      </c>
      <c r="J52" s="2" t="s">
        <v>222</v>
      </c>
      <c r="K52" s="2" t="s">
        <v>223</v>
      </c>
      <c r="L52" s="2"/>
      <c r="M52" s="2" t="s">
        <v>76</v>
      </c>
      <c r="N52" s="2" t="s">
        <v>224</v>
      </c>
    </row>
    <row r="53" spans="1:15" ht="15.75" customHeight="1" x14ac:dyDescent="0.15">
      <c r="A53" s="2" t="s">
        <v>2002</v>
      </c>
      <c r="B53" s="2" t="s">
        <v>2003</v>
      </c>
      <c r="C53" s="2" t="str">
        <f t="shared" si="0"/>
        <v>suffix</v>
      </c>
      <c r="D53" s="2" t="s">
        <v>2008</v>
      </c>
      <c r="E53" s="2" t="str">
        <f t="shared" si="1"/>
        <v>What is the affix used to inflect the word \"laparan\"?</v>
      </c>
      <c r="F53" s="2" t="str">
        <f t="shared" si="2"/>
        <v>Ano ang panlapi na ginamit sa salitang \"laparan\"?</v>
      </c>
      <c r="G53" s="2" t="str">
        <f t="shared" si="3"/>
        <v>-an</v>
      </c>
      <c r="H53" s="19" t="s">
        <v>2484</v>
      </c>
      <c r="I53" s="2" t="s">
        <v>225</v>
      </c>
      <c r="J53" s="2" t="s">
        <v>226</v>
      </c>
      <c r="K53" s="2" t="s">
        <v>223</v>
      </c>
      <c r="L53" s="2"/>
      <c r="M53" s="2" t="s">
        <v>76</v>
      </c>
      <c r="N53" s="2" t="s">
        <v>224</v>
      </c>
    </row>
    <row r="54" spans="1:15" ht="15.75" customHeight="1" x14ac:dyDescent="0.15">
      <c r="A54" s="2" t="s">
        <v>2002</v>
      </c>
      <c r="B54" s="2" t="s">
        <v>2003</v>
      </c>
      <c r="C54" s="2" t="str">
        <f t="shared" si="0"/>
        <v>suffix</v>
      </c>
      <c r="D54" s="2" t="s">
        <v>2008</v>
      </c>
      <c r="E54" s="2" t="str">
        <f t="shared" si="1"/>
        <v>What is the affix used to inflect the word \"tawirin\"?</v>
      </c>
      <c r="F54" s="2" t="str">
        <f t="shared" si="2"/>
        <v>Ano ang panlapi na ginamit sa salitang \"tawirin\"?</v>
      </c>
      <c r="G54" s="2" t="str">
        <f t="shared" si="3"/>
        <v>-in</v>
      </c>
      <c r="H54" s="19" t="s">
        <v>2485</v>
      </c>
      <c r="I54" s="2" t="s">
        <v>227</v>
      </c>
      <c r="J54" s="2" t="s">
        <v>228</v>
      </c>
      <c r="K54" s="2" t="s">
        <v>229</v>
      </c>
      <c r="L54" s="2"/>
      <c r="M54" s="2" t="s">
        <v>76</v>
      </c>
      <c r="N54" s="2" t="s">
        <v>224</v>
      </c>
    </row>
    <row r="55" spans="1:15" ht="15.75" customHeight="1" x14ac:dyDescent="0.15">
      <c r="A55" s="2" t="s">
        <v>2002</v>
      </c>
      <c r="B55" s="2" t="s">
        <v>2003</v>
      </c>
      <c r="C55" s="2" t="str">
        <f t="shared" si="0"/>
        <v>suffix</v>
      </c>
      <c r="D55" s="2" t="s">
        <v>2008</v>
      </c>
      <c r="E55" s="2" t="str">
        <f t="shared" si="1"/>
        <v>What is the affix used to inflect the word \"liparin\"?</v>
      </c>
      <c r="F55" s="2" t="str">
        <f t="shared" si="2"/>
        <v>Ano ang panlapi na ginamit sa salitang \"liparin\"?</v>
      </c>
      <c r="G55" s="2" t="str">
        <f t="shared" si="3"/>
        <v>-in</v>
      </c>
      <c r="H55" s="19" t="s">
        <v>2486</v>
      </c>
      <c r="I55" s="2" t="s">
        <v>230</v>
      </c>
      <c r="J55" s="2" t="s">
        <v>231</v>
      </c>
      <c r="K55" s="2" t="s">
        <v>229</v>
      </c>
      <c r="L55" s="2"/>
      <c r="M55" s="2" t="s">
        <v>76</v>
      </c>
      <c r="N55" s="2" t="s">
        <v>224</v>
      </c>
    </row>
    <row r="56" spans="1:15" ht="15.75" customHeight="1" x14ac:dyDescent="0.15">
      <c r="A56" s="2" t="s">
        <v>2002</v>
      </c>
      <c r="B56" s="2" t="s">
        <v>2003</v>
      </c>
      <c r="C56" s="2" t="str">
        <f t="shared" si="0"/>
        <v>suffix</v>
      </c>
      <c r="D56" s="2" t="s">
        <v>2008</v>
      </c>
      <c r="E56" s="2" t="str">
        <f t="shared" si="1"/>
        <v>What is the affix used to inflect the word \"hangarin\"?</v>
      </c>
      <c r="F56" s="2" t="str">
        <f t="shared" si="2"/>
        <v>Ano ang panlapi na ginamit sa salitang \"hangarin\"?</v>
      </c>
      <c r="G56" s="2" t="str">
        <f t="shared" si="3"/>
        <v>-in</v>
      </c>
      <c r="H56" s="19" t="s">
        <v>2487</v>
      </c>
      <c r="I56" s="2" t="s">
        <v>232</v>
      </c>
      <c r="J56" s="2" t="s">
        <v>233</v>
      </c>
      <c r="K56" s="2" t="s">
        <v>229</v>
      </c>
      <c r="L56" s="2"/>
      <c r="M56" s="2" t="s">
        <v>76</v>
      </c>
      <c r="N56" s="2" t="s">
        <v>224</v>
      </c>
    </row>
    <row r="57" spans="1:15" ht="15.75" customHeight="1" x14ac:dyDescent="0.15">
      <c r="A57" s="2" t="s">
        <v>2002</v>
      </c>
      <c r="B57" s="2" t="s">
        <v>2003</v>
      </c>
      <c r="C57" s="2" t="str">
        <f t="shared" si="0"/>
        <v>suffix</v>
      </c>
      <c r="D57" s="2" t="s">
        <v>2008</v>
      </c>
      <c r="E57" s="2" t="str">
        <f t="shared" si="1"/>
        <v>What is the affix used to inflect the word \"palarin\"?</v>
      </c>
      <c r="F57" s="2" t="str">
        <f t="shared" si="2"/>
        <v>Ano ang panlapi na ginamit sa salitang \"palarin\"?</v>
      </c>
      <c r="G57" s="2" t="str">
        <f t="shared" si="3"/>
        <v>-in</v>
      </c>
      <c r="H57" s="19" t="s">
        <v>2488</v>
      </c>
      <c r="I57" s="2" t="s">
        <v>234</v>
      </c>
      <c r="J57" s="2" t="s">
        <v>235</v>
      </c>
      <c r="K57" s="2" t="s">
        <v>229</v>
      </c>
      <c r="L57" s="2"/>
      <c r="M57" s="2" t="s">
        <v>76</v>
      </c>
      <c r="N57" s="2" t="s">
        <v>224</v>
      </c>
    </row>
    <row r="58" spans="1:15" ht="15.75" customHeight="1" x14ac:dyDescent="0.15">
      <c r="A58" s="2" t="s">
        <v>2002</v>
      </c>
      <c r="B58" s="2" t="s">
        <v>2003</v>
      </c>
      <c r="C58" s="2" t="str">
        <f t="shared" si="0"/>
        <v>suffix</v>
      </c>
      <c r="D58" s="2" t="s">
        <v>2008</v>
      </c>
      <c r="E58" s="2" t="str">
        <f t="shared" si="1"/>
        <v>What is the affix used to inflect the word \"pusuan\"?</v>
      </c>
      <c r="F58" s="2" t="str">
        <f t="shared" si="2"/>
        <v>Ano ang panlapi na ginamit sa salitang \"pusuan\"?</v>
      </c>
      <c r="G58" s="2" t="str">
        <f t="shared" si="3"/>
        <v>-an</v>
      </c>
      <c r="H58" s="19" t="s">
        <v>2489</v>
      </c>
      <c r="I58" s="2" t="s">
        <v>236</v>
      </c>
      <c r="J58" s="2" t="s">
        <v>237</v>
      </c>
      <c r="K58" s="2" t="s">
        <v>223</v>
      </c>
      <c r="L58" s="2"/>
      <c r="M58" s="2" t="s">
        <v>76</v>
      </c>
      <c r="N58" s="2" t="s">
        <v>224</v>
      </c>
    </row>
    <row r="59" spans="1:15" ht="15.75" customHeight="1" x14ac:dyDescent="0.15">
      <c r="A59" s="2" t="s">
        <v>2002</v>
      </c>
      <c r="B59" s="2" t="s">
        <v>2003</v>
      </c>
      <c r="C59" s="2" t="str">
        <f t="shared" si="0"/>
        <v>suffix</v>
      </c>
      <c r="D59" s="2" t="s">
        <v>2008</v>
      </c>
      <c r="E59" s="2" t="str">
        <f t="shared" si="1"/>
        <v>What is the affix used to inflect the word \"bulungan\"?</v>
      </c>
      <c r="F59" s="2" t="str">
        <f t="shared" si="2"/>
        <v>Ano ang panlapi na ginamit sa salitang \"bulungan\"?</v>
      </c>
      <c r="G59" s="2" t="str">
        <f t="shared" si="3"/>
        <v>-an</v>
      </c>
      <c r="H59" s="19" t="s">
        <v>2490</v>
      </c>
      <c r="I59" s="2" t="s">
        <v>238</v>
      </c>
      <c r="J59" s="2" t="s">
        <v>239</v>
      </c>
      <c r="K59" s="2" t="s">
        <v>223</v>
      </c>
      <c r="L59" s="2"/>
      <c r="M59" s="2" t="s">
        <v>76</v>
      </c>
      <c r="N59" s="2" t="s">
        <v>224</v>
      </c>
    </row>
    <row r="60" spans="1:15" ht="15.75" customHeight="1" x14ac:dyDescent="0.15">
      <c r="A60" s="2" t="s">
        <v>2002</v>
      </c>
      <c r="B60" s="2" t="s">
        <v>2003</v>
      </c>
      <c r="C60" s="2" t="str">
        <f t="shared" si="0"/>
        <v>suffix</v>
      </c>
      <c r="D60" s="2" t="s">
        <v>2008</v>
      </c>
      <c r="E60" s="2" t="str">
        <f t="shared" si="1"/>
        <v>What is the affix used to inflect the word \"busugin\"?</v>
      </c>
      <c r="F60" s="2" t="str">
        <f t="shared" si="2"/>
        <v>Ano ang panlapi na ginamit sa salitang \"busugin\"?</v>
      </c>
      <c r="G60" s="2" t="str">
        <f t="shared" si="3"/>
        <v>-in</v>
      </c>
      <c r="H60" s="19" t="s">
        <v>2491</v>
      </c>
      <c r="I60" s="2" t="s">
        <v>240</v>
      </c>
      <c r="J60" s="2" t="s">
        <v>241</v>
      </c>
      <c r="K60" s="2" t="s">
        <v>229</v>
      </c>
      <c r="L60" s="2"/>
      <c r="M60" s="2" t="s">
        <v>76</v>
      </c>
      <c r="N60" s="2" t="s">
        <v>224</v>
      </c>
    </row>
    <row r="61" spans="1:15" ht="15.75" customHeight="1" x14ac:dyDescent="0.15">
      <c r="A61" s="2" t="s">
        <v>2002</v>
      </c>
      <c r="B61" s="2" t="s">
        <v>2003</v>
      </c>
      <c r="C61" s="2" t="str">
        <f t="shared" si="0"/>
        <v>suffix</v>
      </c>
      <c r="D61" s="2" t="s">
        <v>2008</v>
      </c>
      <c r="E61" s="2" t="str">
        <f t="shared" si="1"/>
        <v>What is the affix used to inflect the word \"tukuyin\"?</v>
      </c>
      <c r="F61" s="2" t="str">
        <f t="shared" si="2"/>
        <v>Ano ang panlapi na ginamit sa salitang \"tukuyin\"?</v>
      </c>
      <c r="G61" s="2" t="str">
        <f t="shared" si="3"/>
        <v>-in</v>
      </c>
      <c r="H61" s="19" t="s">
        <v>2492</v>
      </c>
      <c r="I61" s="2" t="s">
        <v>242</v>
      </c>
      <c r="J61" s="2" t="s">
        <v>243</v>
      </c>
      <c r="K61" s="2" t="s">
        <v>229</v>
      </c>
      <c r="L61" s="2"/>
      <c r="M61" s="2" t="s">
        <v>76</v>
      </c>
      <c r="N61" s="2" t="s">
        <v>224</v>
      </c>
    </row>
    <row r="62" spans="1:15" ht="15.75" customHeight="1" x14ac:dyDescent="0.15">
      <c r="A62" s="2" t="s">
        <v>2002</v>
      </c>
      <c r="B62" s="2" t="s">
        <v>2003</v>
      </c>
      <c r="C62" s="2" t="str">
        <f t="shared" si="0"/>
        <v>suffix</v>
      </c>
      <c r="D62" s="2" t="s">
        <v>2008</v>
      </c>
      <c r="E62" s="2" t="str">
        <f t="shared" si="1"/>
        <v>What is the affix used to inflect the word \"tubusin\"?</v>
      </c>
      <c r="F62" s="2" t="str">
        <f t="shared" si="2"/>
        <v>Ano ang panlapi na ginamit sa salitang \"tubusin\"?</v>
      </c>
      <c r="G62" s="2" t="str">
        <f t="shared" si="3"/>
        <v>-in</v>
      </c>
      <c r="H62" s="19" t="s">
        <v>2493</v>
      </c>
      <c r="I62" s="2" t="s">
        <v>244</v>
      </c>
      <c r="J62" s="2" t="s">
        <v>245</v>
      </c>
      <c r="K62" s="2" t="s">
        <v>229</v>
      </c>
      <c r="L62" s="2"/>
      <c r="M62" s="2" t="s">
        <v>76</v>
      </c>
      <c r="N62" s="2" t="s">
        <v>224</v>
      </c>
    </row>
    <row r="63" spans="1:15" ht="15.75" customHeight="1" x14ac:dyDescent="0.15">
      <c r="A63" s="2" t="s">
        <v>2002</v>
      </c>
      <c r="B63" s="2" t="s">
        <v>2003</v>
      </c>
      <c r="C63" s="2" t="str">
        <f t="shared" si="0"/>
        <v>suffix</v>
      </c>
      <c r="D63" s="2" t="s">
        <v>2008</v>
      </c>
      <c r="E63" s="2" t="str">
        <f t="shared" si="1"/>
        <v>What is the affix used to inflect the word \"putukan\"?</v>
      </c>
      <c r="F63" s="2" t="str">
        <f t="shared" si="2"/>
        <v>Ano ang panlapi na ginamit sa salitang \"putukan\"?</v>
      </c>
      <c r="G63" s="2" t="str">
        <f t="shared" si="3"/>
        <v>-an</v>
      </c>
      <c r="H63" s="19" t="s">
        <v>2494</v>
      </c>
      <c r="I63" s="2" t="s">
        <v>246</v>
      </c>
      <c r="J63" s="2" t="s">
        <v>247</v>
      </c>
      <c r="K63" s="2" t="s">
        <v>223</v>
      </c>
      <c r="L63" s="2"/>
      <c r="M63" s="2" t="s">
        <v>76</v>
      </c>
      <c r="N63" s="2" t="s">
        <v>224</v>
      </c>
    </row>
    <row r="64" spans="1:15" ht="15.75" customHeight="1" x14ac:dyDescent="0.15">
      <c r="A64" s="2" t="s">
        <v>2002</v>
      </c>
      <c r="B64" s="2" t="s">
        <v>2003</v>
      </c>
      <c r="C64" s="2" t="str">
        <f t="shared" si="0"/>
        <v>suffix</v>
      </c>
      <c r="D64" s="2" t="s">
        <v>2008</v>
      </c>
      <c r="E64" s="2" t="str">
        <f t="shared" si="1"/>
        <v>What is the affix used to inflect the word \"sabugan\"?</v>
      </c>
      <c r="F64" s="2" t="str">
        <f t="shared" si="2"/>
        <v>Ano ang panlapi na ginamit sa salitang \"sabugan\"?</v>
      </c>
      <c r="G64" s="2" t="str">
        <f t="shared" si="3"/>
        <v>-an</v>
      </c>
      <c r="H64" s="19" t="s">
        <v>2495</v>
      </c>
      <c r="I64" s="2" t="s">
        <v>248</v>
      </c>
      <c r="J64" s="2" t="s">
        <v>249</v>
      </c>
      <c r="K64" s="2" t="s">
        <v>223</v>
      </c>
      <c r="L64" s="2"/>
      <c r="M64" s="2" t="s">
        <v>76</v>
      </c>
      <c r="N64" s="2" t="s">
        <v>224</v>
      </c>
    </row>
    <row r="65" spans="1:14" ht="15.75" customHeight="1" x14ac:dyDescent="0.15">
      <c r="A65" s="2" t="s">
        <v>2002</v>
      </c>
      <c r="B65" s="2" t="s">
        <v>2003</v>
      </c>
      <c r="C65" s="2" t="str">
        <f t="shared" si="0"/>
        <v>suffix</v>
      </c>
      <c r="D65" s="2" t="s">
        <v>2008</v>
      </c>
      <c r="E65" s="2" t="str">
        <f t="shared" si="1"/>
        <v>What is the affix used to inflect the word \"batuhin\"?</v>
      </c>
      <c r="F65" s="2" t="str">
        <f t="shared" si="2"/>
        <v>Ano ang panlapi na ginamit sa salitang \"batuhin\"?</v>
      </c>
      <c r="G65" s="2" t="str">
        <f t="shared" si="3"/>
        <v>-hin</v>
      </c>
      <c r="H65" s="19" t="s">
        <v>2496</v>
      </c>
      <c r="I65" s="2" t="s">
        <v>250</v>
      </c>
      <c r="J65" s="2" t="s">
        <v>251</v>
      </c>
      <c r="K65" s="2" t="s">
        <v>252</v>
      </c>
      <c r="L65" s="2" t="s">
        <v>229</v>
      </c>
      <c r="M65" s="2" t="s">
        <v>76</v>
      </c>
      <c r="N65" s="2" t="s">
        <v>224</v>
      </c>
    </row>
    <row r="66" spans="1:14" ht="15.75" customHeight="1" x14ac:dyDescent="0.15">
      <c r="A66" s="2" t="s">
        <v>2002</v>
      </c>
      <c r="B66" s="2" t="s">
        <v>2003</v>
      </c>
      <c r="C66" s="2" t="str">
        <f t="shared" si="0"/>
        <v>suffix</v>
      </c>
      <c r="D66" s="2" t="s">
        <v>2008</v>
      </c>
      <c r="E66" s="2" t="str">
        <f t="shared" si="1"/>
        <v>What is the affix used to inflect the word \"sikuhin\"?</v>
      </c>
      <c r="F66" s="2" t="str">
        <f t="shared" si="2"/>
        <v>Ano ang panlapi na ginamit sa salitang \"sikuhin\"?</v>
      </c>
      <c r="G66" s="2" t="str">
        <f t="shared" si="3"/>
        <v>-hin</v>
      </c>
      <c r="H66" s="19" t="s">
        <v>2497</v>
      </c>
      <c r="I66" s="2" t="s">
        <v>253</v>
      </c>
      <c r="J66" s="2" t="s">
        <v>127</v>
      </c>
      <c r="K66" s="2" t="s">
        <v>252</v>
      </c>
      <c r="L66" s="2" t="s">
        <v>229</v>
      </c>
      <c r="M66" s="2" t="s">
        <v>76</v>
      </c>
      <c r="N66" s="2" t="s">
        <v>224</v>
      </c>
    </row>
    <row r="67" spans="1:14" ht="15.75" customHeight="1" x14ac:dyDescent="0.15">
      <c r="A67" s="2" t="s">
        <v>2002</v>
      </c>
      <c r="B67" s="2" t="s">
        <v>2003</v>
      </c>
      <c r="C67" s="2" t="str">
        <f t="shared" si="0"/>
        <v>suffix</v>
      </c>
      <c r="D67" s="2" t="s">
        <v>2008</v>
      </c>
      <c r="E67" s="2" t="str">
        <f t="shared" si="1"/>
        <v>What is the affix used to inflect the word \"puruhan\"?</v>
      </c>
      <c r="F67" s="2" t="str">
        <f t="shared" si="2"/>
        <v>Ano ang panlapi na ginamit sa salitang \"puruhan\"?</v>
      </c>
      <c r="G67" s="2" t="str">
        <f t="shared" si="3"/>
        <v>-han</v>
      </c>
      <c r="H67" s="19" t="s">
        <v>2498</v>
      </c>
      <c r="I67" s="2" t="s">
        <v>254</v>
      </c>
      <c r="J67" s="2" t="s">
        <v>255</v>
      </c>
      <c r="K67" s="2" t="s">
        <v>256</v>
      </c>
      <c r="L67" s="2" t="s">
        <v>223</v>
      </c>
      <c r="M67" s="2" t="s">
        <v>76</v>
      </c>
      <c r="N67" s="2" t="s">
        <v>224</v>
      </c>
    </row>
    <row r="68" spans="1:14" ht="13" x14ac:dyDescent="0.15">
      <c r="A68" s="2" t="s">
        <v>2002</v>
      </c>
      <c r="B68" s="2" t="s">
        <v>2003</v>
      </c>
      <c r="C68" s="2" t="str">
        <f t="shared" si="0"/>
        <v>suffix</v>
      </c>
      <c r="D68" s="2" t="s">
        <v>2008</v>
      </c>
      <c r="E68" s="2" t="str">
        <f t="shared" si="1"/>
        <v>What is the affix used to inflect the word \"baguhin\"?</v>
      </c>
      <c r="F68" s="2" t="str">
        <f t="shared" si="2"/>
        <v>Ano ang panlapi na ginamit sa salitang \"baguhin\"?</v>
      </c>
      <c r="G68" s="2" t="str">
        <f t="shared" si="3"/>
        <v>-hin</v>
      </c>
      <c r="H68" s="19" t="s">
        <v>2499</v>
      </c>
      <c r="I68" s="2" t="s">
        <v>257</v>
      </c>
      <c r="J68" s="2" t="s">
        <v>258</v>
      </c>
      <c r="K68" s="2" t="s">
        <v>252</v>
      </c>
      <c r="L68" s="2" t="s">
        <v>229</v>
      </c>
      <c r="M68" s="2" t="s">
        <v>76</v>
      </c>
      <c r="N68" s="2" t="s">
        <v>224</v>
      </c>
    </row>
    <row r="69" spans="1:14" ht="13" x14ac:dyDescent="0.15">
      <c r="A69" s="2" t="s">
        <v>2002</v>
      </c>
      <c r="B69" s="2" t="s">
        <v>2003</v>
      </c>
      <c r="C69" s="2" t="str">
        <f t="shared" si="0"/>
        <v>suffix</v>
      </c>
      <c r="D69" s="2" t="s">
        <v>2008</v>
      </c>
      <c r="E69" s="2" t="str">
        <f t="shared" si="1"/>
        <v>What is the affix used to inflect the word \"uluhan\"?</v>
      </c>
      <c r="F69" s="2" t="str">
        <f t="shared" si="2"/>
        <v>Ano ang panlapi na ginamit sa salitang \"uluhan\"?</v>
      </c>
      <c r="G69" s="2" t="str">
        <f t="shared" si="3"/>
        <v>-han</v>
      </c>
      <c r="H69" s="19" t="s">
        <v>2500</v>
      </c>
      <c r="I69" s="2" t="s">
        <v>259</v>
      </c>
      <c r="J69" s="2" t="s">
        <v>260</v>
      </c>
      <c r="K69" s="2" t="s">
        <v>256</v>
      </c>
      <c r="L69" s="2" t="s">
        <v>223</v>
      </c>
      <c r="M69" s="2" t="s">
        <v>76</v>
      </c>
      <c r="N69" s="2" t="s">
        <v>224</v>
      </c>
    </row>
    <row r="70" spans="1:14" ht="13" x14ac:dyDescent="0.15">
      <c r="A70" s="2" t="s">
        <v>2002</v>
      </c>
      <c r="B70" s="2" t="s">
        <v>2003</v>
      </c>
      <c r="C70" s="2" t="str">
        <f t="shared" si="0"/>
        <v>suffix</v>
      </c>
      <c r="D70" s="2" t="s">
        <v>2008</v>
      </c>
      <c r="E70" s="2" t="str">
        <f t="shared" si="1"/>
        <v>What is the affix used to inflect the word \"guluhin\"?</v>
      </c>
      <c r="F70" s="2" t="str">
        <f t="shared" si="2"/>
        <v>Ano ang panlapi na ginamit sa salitang \"guluhin\"?</v>
      </c>
      <c r="G70" s="2" t="str">
        <f t="shared" si="3"/>
        <v>-hin</v>
      </c>
      <c r="H70" s="19" t="s">
        <v>2501</v>
      </c>
      <c r="I70" s="2" t="s">
        <v>261</v>
      </c>
      <c r="J70" s="2" t="s">
        <v>262</v>
      </c>
      <c r="K70" s="2" t="s">
        <v>252</v>
      </c>
      <c r="L70" s="2" t="s">
        <v>229</v>
      </c>
      <c r="M70" s="2" t="s">
        <v>76</v>
      </c>
      <c r="N70" s="2" t="s">
        <v>224</v>
      </c>
    </row>
    <row r="71" spans="1:14" ht="13" x14ac:dyDescent="0.15">
      <c r="A71" s="2" t="s">
        <v>2002</v>
      </c>
      <c r="B71" s="2" t="s">
        <v>2003</v>
      </c>
      <c r="C71" s="2" t="str">
        <f t="shared" si="0"/>
        <v>suffix</v>
      </c>
      <c r="D71" s="2" t="s">
        <v>2008</v>
      </c>
      <c r="E71" s="2" t="str">
        <f t="shared" si="1"/>
        <v>What is the affix used to inflect the word \"tawanan\"?</v>
      </c>
      <c r="F71" s="2" t="str">
        <f t="shared" si="2"/>
        <v>Ano ang panlapi na ginamit sa salitang \"tawanan\"?</v>
      </c>
      <c r="G71" s="2" t="str">
        <f t="shared" si="3"/>
        <v>-han</v>
      </c>
      <c r="H71" s="19" t="s">
        <v>2502</v>
      </c>
      <c r="I71" s="2" t="s">
        <v>263</v>
      </c>
      <c r="J71" s="2" t="s">
        <v>219</v>
      </c>
      <c r="K71" s="2" t="s">
        <v>256</v>
      </c>
      <c r="L71" s="2" t="s">
        <v>223</v>
      </c>
      <c r="M71" s="2" t="s">
        <v>76</v>
      </c>
      <c r="N71" s="2" t="s">
        <v>224</v>
      </c>
    </row>
    <row r="72" spans="1:14" ht="13" x14ac:dyDescent="0.15">
      <c r="A72" s="2" t="s">
        <v>2002</v>
      </c>
      <c r="B72" s="2" t="s">
        <v>2003</v>
      </c>
      <c r="C72" s="2" t="str">
        <f t="shared" si="0"/>
        <v>suffix</v>
      </c>
      <c r="D72" s="2" t="s">
        <v>2010</v>
      </c>
      <c r="E72" s="2" t="str">
        <f t="shared" si="1"/>
        <v>What is the affix used to inflect the word \"takpan\"?</v>
      </c>
      <c r="F72" s="2" t="str">
        <f t="shared" si="2"/>
        <v>Ano ang panlapi na ginamit sa salitang \"takpan\"?</v>
      </c>
      <c r="G72" s="2" t="str">
        <f t="shared" si="3"/>
        <v>-an</v>
      </c>
      <c r="H72" s="19" t="s">
        <v>2503</v>
      </c>
      <c r="I72" s="2" t="s">
        <v>264</v>
      </c>
      <c r="J72" s="2" t="s">
        <v>265</v>
      </c>
      <c r="K72" s="2" t="s">
        <v>223</v>
      </c>
      <c r="L72" s="2"/>
      <c r="M72" s="2" t="s">
        <v>76</v>
      </c>
      <c r="N72" s="2" t="s">
        <v>266</v>
      </c>
    </row>
    <row r="73" spans="1:14" ht="13" x14ac:dyDescent="0.15">
      <c r="A73" s="2" t="s">
        <v>2002</v>
      </c>
      <c r="B73" s="2" t="s">
        <v>2003</v>
      </c>
      <c r="C73" s="2" t="str">
        <f t="shared" si="0"/>
        <v>suffix</v>
      </c>
      <c r="D73" s="2" t="s">
        <v>2010</v>
      </c>
      <c r="E73" s="2" t="str">
        <f t="shared" si="1"/>
        <v>What is the affix used to inflect the word \"saktan\"?</v>
      </c>
      <c r="F73" s="2" t="str">
        <f t="shared" si="2"/>
        <v>Ano ang panlapi na ginamit sa salitang \"saktan\"?</v>
      </c>
      <c r="G73" s="2" t="str">
        <f t="shared" si="3"/>
        <v>-an</v>
      </c>
      <c r="H73" s="19" t="s">
        <v>2504</v>
      </c>
      <c r="I73" s="2" t="s">
        <v>267</v>
      </c>
      <c r="J73" s="2" t="s">
        <v>137</v>
      </c>
      <c r="K73" s="2" t="s">
        <v>223</v>
      </c>
      <c r="L73" s="2"/>
      <c r="M73" s="2" t="s">
        <v>76</v>
      </c>
      <c r="N73" s="2" t="s">
        <v>266</v>
      </c>
    </row>
    <row r="74" spans="1:14" ht="13" x14ac:dyDescent="0.15">
      <c r="A74" s="2" t="s">
        <v>2002</v>
      </c>
      <c r="B74" s="2" t="s">
        <v>2003</v>
      </c>
      <c r="C74" s="2" t="str">
        <f t="shared" si="0"/>
        <v>suffix</v>
      </c>
      <c r="D74" s="2" t="s">
        <v>2010</v>
      </c>
      <c r="E74" s="2" t="str">
        <f t="shared" si="1"/>
        <v>What is the affix used to inflect the word \"buksan\"?</v>
      </c>
      <c r="F74" s="2" t="str">
        <f t="shared" si="2"/>
        <v>Ano ang panlapi na ginamit sa salitang \"buksan\"?</v>
      </c>
      <c r="G74" s="2" t="str">
        <f t="shared" si="3"/>
        <v>-an</v>
      </c>
      <c r="H74" s="19" t="s">
        <v>2505</v>
      </c>
      <c r="I74" s="2" t="s">
        <v>268</v>
      </c>
      <c r="J74" s="2" t="s">
        <v>269</v>
      </c>
      <c r="K74" s="2" t="s">
        <v>223</v>
      </c>
      <c r="L74" s="2"/>
      <c r="M74" s="2" t="s">
        <v>76</v>
      </c>
      <c r="N74" s="2" t="s">
        <v>266</v>
      </c>
    </row>
    <row r="75" spans="1:14" ht="13" x14ac:dyDescent="0.15">
      <c r="A75" s="2" t="s">
        <v>2002</v>
      </c>
      <c r="B75" s="2" t="s">
        <v>2003</v>
      </c>
      <c r="C75" s="2" t="str">
        <f t="shared" si="0"/>
        <v>suffix</v>
      </c>
      <c r="D75" s="2" t="s">
        <v>2010</v>
      </c>
      <c r="E75" s="2" t="str">
        <f t="shared" si="1"/>
        <v>What is the affix used to inflect the word \"sundin\"?</v>
      </c>
      <c r="F75" s="2" t="str">
        <f t="shared" si="2"/>
        <v>Ano ang panlapi na ginamit sa salitang \"sundin\"?</v>
      </c>
      <c r="G75" s="2" t="str">
        <f t="shared" si="3"/>
        <v>-in</v>
      </c>
      <c r="H75" s="19" t="s">
        <v>2506</v>
      </c>
      <c r="I75" s="2" t="s">
        <v>270</v>
      </c>
      <c r="J75" s="2" t="s">
        <v>271</v>
      </c>
      <c r="K75" s="2" t="s">
        <v>229</v>
      </c>
      <c r="L75" s="2"/>
      <c r="M75" s="2" t="s">
        <v>76</v>
      </c>
      <c r="N75" s="2" t="s">
        <v>266</v>
      </c>
    </row>
    <row r="76" spans="1:14" ht="13" x14ac:dyDescent="0.15">
      <c r="A76" s="2" t="s">
        <v>2002</v>
      </c>
      <c r="B76" s="2" t="s">
        <v>2003</v>
      </c>
      <c r="C76" s="2" t="str">
        <f t="shared" si="0"/>
        <v>suffix</v>
      </c>
      <c r="D76" s="2" t="s">
        <v>2010</v>
      </c>
      <c r="E76" s="2" t="str">
        <f t="shared" si="1"/>
        <v>What is the affix used to inflect the word \"tupdin\"?</v>
      </c>
      <c r="F76" s="2" t="str">
        <f t="shared" si="2"/>
        <v>Ano ang panlapi na ginamit sa salitang \"tupdin\"?</v>
      </c>
      <c r="G76" s="2" t="str">
        <f t="shared" si="3"/>
        <v>-in</v>
      </c>
      <c r="H76" s="19" t="s">
        <v>2507</v>
      </c>
      <c r="I76" s="2" t="s">
        <v>272</v>
      </c>
      <c r="J76" s="2" t="s">
        <v>273</v>
      </c>
      <c r="K76" s="2" t="s">
        <v>229</v>
      </c>
      <c r="L76" s="2"/>
      <c r="M76" s="2" t="s">
        <v>76</v>
      </c>
      <c r="N76" s="2" t="s">
        <v>266</v>
      </c>
    </row>
    <row r="77" spans="1:14" ht="13" x14ac:dyDescent="0.15">
      <c r="A77" s="2" t="s">
        <v>2002</v>
      </c>
      <c r="B77" s="2" t="s">
        <v>2003</v>
      </c>
      <c r="C77" s="2" t="str">
        <f t="shared" si="0"/>
        <v>suffix</v>
      </c>
      <c r="D77" s="2" t="s">
        <v>2010</v>
      </c>
      <c r="E77" s="2" t="str">
        <f t="shared" si="1"/>
        <v>What is the affix used to inflect the word \"bigyan\"?</v>
      </c>
      <c r="F77" s="2" t="str">
        <f t="shared" si="2"/>
        <v>Ano ang panlapi na ginamit sa salitang \"bigyan\"?</v>
      </c>
      <c r="G77" s="2" t="str">
        <f t="shared" si="3"/>
        <v>-an</v>
      </c>
      <c r="H77" s="19" t="s">
        <v>2508</v>
      </c>
      <c r="I77" s="2" t="s">
        <v>274</v>
      </c>
      <c r="J77" s="2" t="s">
        <v>133</v>
      </c>
      <c r="K77" s="2" t="s">
        <v>223</v>
      </c>
      <c r="L77" s="2"/>
      <c r="M77" s="2" t="s">
        <v>76</v>
      </c>
      <c r="N77" s="2" t="s">
        <v>266</v>
      </c>
    </row>
    <row r="78" spans="1:14" ht="13" x14ac:dyDescent="0.15">
      <c r="A78" s="2" t="s">
        <v>2002</v>
      </c>
      <c r="B78" s="2" t="s">
        <v>2003</v>
      </c>
      <c r="C78" s="2" t="str">
        <f t="shared" si="0"/>
        <v>suffix</v>
      </c>
      <c r="D78" s="2" t="s">
        <v>2010</v>
      </c>
      <c r="E78" s="2" t="str">
        <f t="shared" si="1"/>
        <v>What is the affix used to inflect the word \"dinggin\"?</v>
      </c>
      <c r="F78" s="2" t="str">
        <f t="shared" si="2"/>
        <v>Ano ang panlapi na ginamit sa salitang \"dinggin\"?</v>
      </c>
      <c r="G78" s="2" t="str">
        <f t="shared" si="3"/>
        <v>-in</v>
      </c>
      <c r="H78" s="19" t="s">
        <v>2509</v>
      </c>
      <c r="I78" s="2" t="s">
        <v>275</v>
      </c>
      <c r="J78" s="2" t="s">
        <v>276</v>
      </c>
      <c r="K78" s="2" t="s">
        <v>229</v>
      </c>
      <c r="L78" s="2"/>
      <c r="M78" s="2" t="s">
        <v>76</v>
      </c>
      <c r="N78" s="2" t="s">
        <v>266</v>
      </c>
    </row>
    <row r="79" spans="1:14" ht="13" x14ac:dyDescent="0.15">
      <c r="A79" s="2" t="s">
        <v>2002</v>
      </c>
      <c r="B79" s="2" t="s">
        <v>2003</v>
      </c>
      <c r="C79" s="2" t="str">
        <f t="shared" si="0"/>
        <v>suffix</v>
      </c>
      <c r="D79" s="2" t="s">
        <v>2010</v>
      </c>
      <c r="E79" s="2" t="str">
        <f t="shared" si="1"/>
        <v>What is the affix used to inflect the word \"lagyan\"?</v>
      </c>
      <c r="F79" s="2" t="str">
        <f t="shared" si="2"/>
        <v>Ano ang panlapi na ginamit sa salitang \"lagyan\"?</v>
      </c>
      <c r="G79" s="2" t="str">
        <f t="shared" si="3"/>
        <v>-an</v>
      </c>
      <c r="H79" s="19" t="s">
        <v>2510</v>
      </c>
      <c r="I79" s="2" t="s">
        <v>277</v>
      </c>
      <c r="J79" s="2" t="s">
        <v>207</v>
      </c>
      <c r="K79" s="2" t="s">
        <v>223</v>
      </c>
      <c r="L79" s="2"/>
      <c r="M79" s="2" t="s">
        <v>76</v>
      </c>
      <c r="N79" s="2" t="s">
        <v>266</v>
      </c>
    </row>
    <row r="80" spans="1:14" ht="13" x14ac:dyDescent="0.15">
      <c r="A80" s="2" t="s">
        <v>2002</v>
      </c>
      <c r="B80" s="2" t="s">
        <v>2003</v>
      </c>
      <c r="C80" s="2" t="str">
        <f t="shared" si="0"/>
        <v>suffix</v>
      </c>
      <c r="D80" s="2" t="s">
        <v>2010</v>
      </c>
      <c r="E80" s="2" t="str">
        <f t="shared" si="1"/>
        <v>What is the affix used to inflect the word \"tikman\"?</v>
      </c>
      <c r="F80" s="2" t="str">
        <f t="shared" si="2"/>
        <v>Ano ang panlapi na ginamit sa salitang \"tikman\"?</v>
      </c>
      <c r="G80" s="2" t="str">
        <f t="shared" si="3"/>
        <v>-an</v>
      </c>
      <c r="H80" s="19" t="s">
        <v>2511</v>
      </c>
      <c r="I80" s="2" t="s">
        <v>278</v>
      </c>
      <c r="J80" s="2" t="s">
        <v>279</v>
      </c>
      <c r="K80" s="2" t="s">
        <v>223</v>
      </c>
      <c r="L80" s="2"/>
      <c r="M80" s="2" t="s">
        <v>76</v>
      </c>
      <c r="N80" s="2" t="s">
        <v>266</v>
      </c>
    </row>
    <row r="81" spans="1:15" ht="13" x14ac:dyDescent="0.15">
      <c r="A81" s="2" t="s">
        <v>2002</v>
      </c>
      <c r="B81" s="2" t="s">
        <v>2003</v>
      </c>
      <c r="C81" s="2" t="str">
        <f t="shared" si="0"/>
        <v>suffix</v>
      </c>
      <c r="D81" s="2" t="s">
        <v>2010</v>
      </c>
      <c r="E81" s="2" t="str">
        <f t="shared" si="1"/>
        <v>What is the affix used to inflect the word \"bilhin\"?</v>
      </c>
      <c r="F81" s="2" t="str">
        <f t="shared" si="2"/>
        <v>Ano ang panlapi na ginamit sa salitang \"bilhin\"?</v>
      </c>
      <c r="G81" s="2" t="str">
        <f t="shared" si="3"/>
        <v>-hin</v>
      </c>
      <c r="H81" s="19" t="s">
        <v>2512</v>
      </c>
      <c r="I81" s="2" t="s">
        <v>280</v>
      </c>
      <c r="J81" s="2" t="s">
        <v>193</v>
      </c>
      <c r="K81" s="2" t="s">
        <v>252</v>
      </c>
      <c r="L81" s="2" t="s">
        <v>229</v>
      </c>
      <c r="M81" s="2" t="s">
        <v>76</v>
      </c>
      <c r="N81" s="2" t="s">
        <v>266</v>
      </c>
    </row>
    <row r="82" spans="1:15" ht="15" x14ac:dyDescent="0.2">
      <c r="A82" s="2" t="s">
        <v>2002</v>
      </c>
      <c r="B82" s="2" t="s">
        <v>2003</v>
      </c>
      <c r="C82" s="2" t="str">
        <f t="shared" si="0"/>
        <v>suffix</v>
      </c>
      <c r="D82" s="2" t="s">
        <v>2009</v>
      </c>
      <c r="E82" s="2" t="str">
        <f t="shared" si="1"/>
        <v>What is the affix used to inflect the word \"takasan\"?</v>
      </c>
      <c r="F82" s="2" t="str">
        <f t="shared" si="2"/>
        <v>Ano ang panlapi na ginamit sa salitang \"takasan\"?</v>
      </c>
      <c r="G82" s="2" t="str">
        <f t="shared" si="3"/>
        <v>-an</v>
      </c>
      <c r="H82" s="19" t="s">
        <v>2513</v>
      </c>
      <c r="I82" s="11" t="s">
        <v>281</v>
      </c>
      <c r="J82" s="11" t="s">
        <v>282</v>
      </c>
      <c r="K82" s="12" t="s">
        <v>223</v>
      </c>
      <c r="L82" s="12"/>
      <c r="M82" s="11" t="s">
        <v>76</v>
      </c>
      <c r="N82" s="2" t="s">
        <v>165</v>
      </c>
      <c r="O82" s="2"/>
    </row>
    <row r="83" spans="1:15" ht="15" x14ac:dyDescent="0.2">
      <c r="A83" s="2" t="s">
        <v>2002</v>
      </c>
      <c r="B83" s="2" t="s">
        <v>2003</v>
      </c>
      <c r="C83" s="2" t="str">
        <f t="shared" si="0"/>
        <v>suffix</v>
      </c>
      <c r="D83" s="2" t="s">
        <v>2009</v>
      </c>
      <c r="E83" s="2" t="str">
        <f t="shared" si="1"/>
        <v>What is the affix used to inflect the word \"labanan\"?</v>
      </c>
      <c r="F83" s="2" t="str">
        <f t="shared" si="2"/>
        <v>Ano ang panlapi na ginamit sa salitang \"labanan\"?</v>
      </c>
      <c r="G83" s="2" t="str">
        <f t="shared" si="3"/>
        <v>-an</v>
      </c>
      <c r="H83" s="19" t="s">
        <v>2514</v>
      </c>
      <c r="I83" s="11" t="s">
        <v>283</v>
      </c>
      <c r="J83" s="11" t="s">
        <v>105</v>
      </c>
      <c r="K83" s="12" t="s">
        <v>223</v>
      </c>
      <c r="L83" s="12"/>
      <c r="M83" s="11" t="s">
        <v>76</v>
      </c>
      <c r="N83" s="2" t="s">
        <v>165</v>
      </c>
      <c r="O83" s="2"/>
    </row>
    <row r="84" spans="1:15" ht="15" x14ac:dyDescent="0.2">
      <c r="A84" s="2" t="s">
        <v>2002</v>
      </c>
      <c r="B84" s="2" t="s">
        <v>2003</v>
      </c>
      <c r="C84" s="2" t="str">
        <f t="shared" si="0"/>
        <v>suffix</v>
      </c>
      <c r="D84" s="2" t="s">
        <v>2009</v>
      </c>
      <c r="E84" s="2" t="str">
        <f t="shared" si="1"/>
        <v>What is the affix used to inflect the word \"sulatan\"?</v>
      </c>
      <c r="F84" s="2" t="str">
        <f t="shared" si="2"/>
        <v>Ano ang panlapi na ginamit sa salitang \"sulatan\"?</v>
      </c>
      <c r="G84" s="2" t="str">
        <f t="shared" si="3"/>
        <v>-an</v>
      </c>
      <c r="H84" s="19" t="s">
        <v>2515</v>
      </c>
      <c r="I84" s="2" t="s">
        <v>284</v>
      </c>
      <c r="J84" s="2" t="s">
        <v>285</v>
      </c>
      <c r="K84" s="13" t="s">
        <v>223</v>
      </c>
      <c r="L84" s="13"/>
      <c r="M84" s="11" t="s">
        <v>76</v>
      </c>
      <c r="N84" s="2" t="s">
        <v>165</v>
      </c>
      <c r="O84" s="2"/>
    </row>
    <row r="85" spans="1:15" ht="15" x14ac:dyDescent="0.2">
      <c r="A85" s="2" t="s">
        <v>2002</v>
      </c>
      <c r="B85" s="2" t="s">
        <v>2003</v>
      </c>
      <c r="C85" s="2" t="str">
        <f t="shared" si="0"/>
        <v>suffix</v>
      </c>
      <c r="D85" s="2" t="s">
        <v>2009</v>
      </c>
      <c r="E85" s="2" t="str">
        <f t="shared" si="1"/>
        <v>What is the affix used to inflect the word \"titigan\"?</v>
      </c>
      <c r="F85" s="2" t="str">
        <f t="shared" si="2"/>
        <v>Ano ang panlapi na ginamit sa salitang \"titigan\"?</v>
      </c>
      <c r="G85" s="2" t="str">
        <f t="shared" si="3"/>
        <v>-an</v>
      </c>
      <c r="H85" s="19" t="s">
        <v>2516</v>
      </c>
      <c r="I85" s="11" t="s">
        <v>286</v>
      </c>
      <c r="J85" s="11" t="s">
        <v>287</v>
      </c>
      <c r="K85" s="12" t="s">
        <v>223</v>
      </c>
      <c r="L85" s="12"/>
      <c r="M85" s="11" t="s">
        <v>76</v>
      </c>
      <c r="N85" s="2" t="s">
        <v>165</v>
      </c>
      <c r="O85" s="2"/>
    </row>
    <row r="86" spans="1:15" ht="15" x14ac:dyDescent="0.2">
      <c r="A86" s="2" t="s">
        <v>2002</v>
      </c>
      <c r="B86" s="2" t="s">
        <v>2003</v>
      </c>
      <c r="C86" s="2" t="str">
        <f t="shared" si="0"/>
        <v>suffix</v>
      </c>
      <c r="D86" s="2" t="s">
        <v>2009</v>
      </c>
      <c r="E86" s="2" t="str">
        <f t="shared" si="1"/>
        <v>What is the affix used to inflect the word \"awitan\"?</v>
      </c>
      <c r="F86" s="2" t="str">
        <f t="shared" si="2"/>
        <v>Ano ang panlapi na ginamit sa salitang \"awitan\"?</v>
      </c>
      <c r="G86" s="2" t="str">
        <f t="shared" si="3"/>
        <v>-an</v>
      </c>
      <c r="H86" s="19" t="s">
        <v>2517</v>
      </c>
      <c r="I86" s="11" t="s">
        <v>288</v>
      </c>
      <c r="J86" s="11" t="s">
        <v>289</v>
      </c>
      <c r="K86" s="12" t="s">
        <v>223</v>
      </c>
      <c r="L86" s="12"/>
      <c r="M86" s="11" t="s">
        <v>76</v>
      </c>
      <c r="N86" s="2" t="s">
        <v>165</v>
      </c>
      <c r="O86" s="2"/>
    </row>
    <row r="87" spans="1:15" ht="15" x14ac:dyDescent="0.2">
      <c r="A87" s="2" t="s">
        <v>2002</v>
      </c>
      <c r="B87" s="2" t="s">
        <v>2003</v>
      </c>
      <c r="C87" s="2" t="str">
        <f t="shared" si="0"/>
        <v>suffix</v>
      </c>
      <c r="D87" s="2" t="s">
        <v>2009</v>
      </c>
      <c r="E87" s="2" t="str">
        <f t="shared" si="1"/>
        <v>What is the affix used to inflect the word \"asahan\"?</v>
      </c>
      <c r="F87" s="2" t="str">
        <f t="shared" si="2"/>
        <v>Ano ang panlapi na ginamit sa salitang \"asahan\"?</v>
      </c>
      <c r="G87" s="2" t="str">
        <f t="shared" si="3"/>
        <v>-han</v>
      </c>
      <c r="H87" s="19" t="s">
        <v>2518</v>
      </c>
      <c r="I87" s="11" t="s">
        <v>290</v>
      </c>
      <c r="J87" s="11" t="s">
        <v>291</v>
      </c>
      <c r="K87" s="12" t="s">
        <v>256</v>
      </c>
      <c r="L87" s="12" t="s">
        <v>223</v>
      </c>
      <c r="M87" s="11" t="s">
        <v>76</v>
      </c>
      <c r="N87" s="2" t="s">
        <v>165</v>
      </c>
      <c r="O87" s="2"/>
    </row>
    <row r="88" spans="1:15" ht="15" x14ac:dyDescent="0.2">
      <c r="A88" s="2" t="s">
        <v>2002</v>
      </c>
      <c r="B88" s="2" t="s">
        <v>2003</v>
      </c>
      <c r="C88" s="2" t="str">
        <f t="shared" si="0"/>
        <v>suffix</v>
      </c>
      <c r="D88" s="2" t="s">
        <v>2009</v>
      </c>
      <c r="E88" s="2" t="str">
        <f t="shared" si="1"/>
        <v>What is the affix used to inflect the word \"abonohan\"?</v>
      </c>
      <c r="F88" s="2" t="str">
        <f t="shared" si="2"/>
        <v>Ano ang panlapi na ginamit sa salitang \"abonohan\"?</v>
      </c>
      <c r="G88" s="2" t="str">
        <f t="shared" si="3"/>
        <v>-han</v>
      </c>
      <c r="H88" s="19" t="s">
        <v>2519</v>
      </c>
      <c r="I88" s="2" t="s">
        <v>292</v>
      </c>
      <c r="J88" s="2" t="s">
        <v>293</v>
      </c>
      <c r="K88" s="13" t="s">
        <v>256</v>
      </c>
      <c r="L88" s="13" t="s">
        <v>223</v>
      </c>
      <c r="M88" s="11" t="s">
        <v>76</v>
      </c>
      <c r="N88" s="2" t="s">
        <v>165</v>
      </c>
      <c r="O88" s="2"/>
    </row>
    <row r="89" spans="1:15" ht="15" x14ac:dyDescent="0.2">
      <c r="A89" s="2" t="s">
        <v>2002</v>
      </c>
      <c r="B89" s="2" t="s">
        <v>2003</v>
      </c>
      <c r="C89" s="2" t="str">
        <f t="shared" si="0"/>
        <v>suffix</v>
      </c>
      <c r="D89" s="2" t="s">
        <v>2009</v>
      </c>
      <c r="E89" s="2" t="str">
        <f t="shared" si="1"/>
        <v>What is the affix used to inflect the word \"suportahan\"?</v>
      </c>
      <c r="F89" s="2" t="str">
        <f t="shared" si="2"/>
        <v>Ano ang panlapi na ginamit sa salitang \"suportahan\"?</v>
      </c>
      <c r="G89" s="2" t="str">
        <f t="shared" si="3"/>
        <v>-han</v>
      </c>
      <c r="H89" s="19" t="s">
        <v>2520</v>
      </c>
      <c r="I89" s="2" t="s">
        <v>294</v>
      </c>
      <c r="J89" s="2" t="s">
        <v>295</v>
      </c>
      <c r="K89" s="13" t="s">
        <v>256</v>
      </c>
      <c r="L89" s="13" t="s">
        <v>223</v>
      </c>
      <c r="M89" s="11" t="s">
        <v>76</v>
      </c>
      <c r="N89" s="2" t="s">
        <v>165</v>
      </c>
      <c r="O89" s="2"/>
    </row>
    <row r="90" spans="1:15" ht="15" x14ac:dyDescent="0.2">
      <c r="A90" s="2" t="s">
        <v>2002</v>
      </c>
      <c r="B90" s="2" t="s">
        <v>2003</v>
      </c>
      <c r="C90" s="2" t="str">
        <f t="shared" si="0"/>
        <v>suffix</v>
      </c>
      <c r="D90" s="2" t="s">
        <v>2009</v>
      </c>
      <c r="E90" s="2" t="str">
        <f t="shared" si="1"/>
        <v>What is the affix used to inflect the word \"agahan\"?</v>
      </c>
      <c r="F90" s="2" t="str">
        <f t="shared" si="2"/>
        <v>Ano ang panlapi na ginamit sa salitang \"agahan\"?</v>
      </c>
      <c r="G90" s="2" t="str">
        <f t="shared" si="3"/>
        <v>-han</v>
      </c>
      <c r="H90" s="19" t="s">
        <v>2521</v>
      </c>
      <c r="I90" s="11" t="s">
        <v>296</v>
      </c>
      <c r="J90" s="11" t="s">
        <v>297</v>
      </c>
      <c r="K90" s="12" t="s">
        <v>256</v>
      </c>
      <c r="L90" s="12" t="s">
        <v>223</v>
      </c>
      <c r="M90" s="11" t="s">
        <v>76</v>
      </c>
      <c r="N90" s="2" t="s">
        <v>165</v>
      </c>
      <c r="O90" s="2"/>
    </row>
    <row r="91" spans="1:15" ht="15" x14ac:dyDescent="0.2">
      <c r="A91" s="2" t="s">
        <v>2002</v>
      </c>
      <c r="B91" s="2" t="s">
        <v>2003</v>
      </c>
      <c r="C91" s="2" t="str">
        <f t="shared" si="0"/>
        <v>suffix</v>
      </c>
      <c r="D91" s="2" t="s">
        <v>2009</v>
      </c>
      <c r="E91" s="2" t="str">
        <f t="shared" si="1"/>
        <v>What is the affix used to inflect the word \"gandahan\"?</v>
      </c>
      <c r="F91" s="2" t="str">
        <f t="shared" si="2"/>
        <v>Ano ang panlapi na ginamit sa salitang \"gandahan\"?</v>
      </c>
      <c r="G91" s="2" t="str">
        <f t="shared" si="3"/>
        <v>-han</v>
      </c>
      <c r="H91" s="19" t="s">
        <v>2522</v>
      </c>
      <c r="I91" s="11" t="s">
        <v>298</v>
      </c>
      <c r="J91" s="11" t="s">
        <v>299</v>
      </c>
      <c r="K91" s="12" t="s">
        <v>256</v>
      </c>
      <c r="L91" s="12" t="s">
        <v>223</v>
      </c>
      <c r="M91" s="11" t="s">
        <v>76</v>
      </c>
      <c r="N91" s="2" t="s">
        <v>165</v>
      </c>
      <c r="O91" s="2"/>
    </row>
    <row r="92" spans="1:15" ht="15" x14ac:dyDescent="0.2">
      <c r="A92" s="2" t="s">
        <v>2002</v>
      </c>
      <c r="B92" s="2" t="s">
        <v>2003</v>
      </c>
      <c r="C92" s="2" t="str">
        <f t="shared" si="0"/>
        <v>suffix</v>
      </c>
      <c r="D92" s="2" t="s">
        <v>2009</v>
      </c>
      <c r="E92" s="2" t="str">
        <f t="shared" si="1"/>
        <v>What is the affix used to inflect the word \"alisin\"?</v>
      </c>
      <c r="F92" s="2" t="str">
        <f t="shared" si="2"/>
        <v>Ano ang panlapi na ginamit sa salitang \"alisin\"?</v>
      </c>
      <c r="G92" s="2" t="str">
        <f t="shared" si="3"/>
        <v>-in</v>
      </c>
      <c r="H92" s="19" t="s">
        <v>2523</v>
      </c>
      <c r="I92" s="11" t="s">
        <v>300</v>
      </c>
      <c r="J92" s="11" t="s">
        <v>301</v>
      </c>
      <c r="K92" s="12" t="s">
        <v>229</v>
      </c>
      <c r="L92" s="12"/>
      <c r="M92" s="11" t="s">
        <v>76</v>
      </c>
      <c r="N92" s="2" t="s">
        <v>165</v>
      </c>
      <c r="O92" s="2"/>
    </row>
    <row r="93" spans="1:15" ht="15" x14ac:dyDescent="0.2">
      <c r="A93" s="2" t="s">
        <v>2002</v>
      </c>
      <c r="B93" s="2" t="s">
        <v>2003</v>
      </c>
      <c r="C93" s="2" t="str">
        <f t="shared" si="0"/>
        <v>suffix</v>
      </c>
      <c r="D93" s="2" t="s">
        <v>2009</v>
      </c>
      <c r="E93" s="2" t="str">
        <f t="shared" si="1"/>
        <v>What is the affix used to inflect the word \"walisin\"?</v>
      </c>
      <c r="F93" s="2" t="str">
        <f t="shared" si="2"/>
        <v>Ano ang panlapi na ginamit sa salitang \"walisin\"?</v>
      </c>
      <c r="G93" s="2" t="str">
        <f t="shared" si="3"/>
        <v>-in</v>
      </c>
      <c r="H93" s="19" t="s">
        <v>2524</v>
      </c>
      <c r="I93" s="11" t="s">
        <v>302</v>
      </c>
      <c r="J93" s="11" t="s">
        <v>303</v>
      </c>
      <c r="K93" s="12" t="s">
        <v>229</v>
      </c>
      <c r="L93" s="12"/>
      <c r="M93" s="11" t="s">
        <v>76</v>
      </c>
      <c r="N93" s="2" t="s">
        <v>165</v>
      </c>
      <c r="O93" s="2"/>
    </row>
    <row r="94" spans="1:15" ht="15" x14ac:dyDescent="0.2">
      <c r="A94" s="2" t="s">
        <v>2002</v>
      </c>
      <c r="B94" s="2" t="s">
        <v>2003</v>
      </c>
      <c r="C94" s="2" t="str">
        <f t="shared" si="0"/>
        <v>suffix</v>
      </c>
      <c r="D94" s="2" t="s">
        <v>2009</v>
      </c>
      <c r="E94" s="2" t="str">
        <f t="shared" si="1"/>
        <v>What is the affix used to inflect the word \"galawin\"?</v>
      </c>
      <c r="F94" s="2" t="str">
        <f t="shared" si="2"/>
        <v>Ano ang panlapi na ginamit sa salitang \"galawin\"?</v>
      </c>
      <c r="G94" s="2" t="str">
        <f t="shared" si="3"/>
        <v>-in</v>
      </c>
      <c r="H94" s="19" t="s">
        <v>2525</v>
      </c>
      <c r="I94" s="11" t="s">
        <v>304</v>
      </c>
      <c r="J94" s="11" t="s">
        <v>305</v>
      </c>
      <c r="K94" s="12" t="s">
        <v>229</v>
      </c>
      <c r="L94" s="12"/>
      <c r="M94" s="11" t="s">
        <v>76</v>
      </c>
      <c r="N94" s="2" t="s">
        <v>165</v>
      </c>
      <c r="O94" s="2"/>
    </row>
    <row r="95" spans="1:15" ht="15" x14ac:dyDescent="0.2">
      <c r="A95" s="2" t="s">
        <v>2002</v>
      </c>
      <c r="B95" s="2" t="s">
        <v>2003</v>
      </c>
      <c r="C95" s="2" t="str">
        <f t="shared" si="0"/>
        <v>suffix</v>
      </c>
      <c r="D95" s="2" t="s">
        <v>2009</v>
      </c>
      <c r="E95" s="2" t="str">
        <f t="shared" si="1"/>
        <v>What is the affix used to inflect the word \"langgamin\"?</v>
      </c>
      <c r="F95" s="2" t="str">
        <f t="shared" si="2"/>
        <v>Ano ang panlapi na ginamit sa salitang \"langgamin\"?</v>
      </c>
      <c r="G95" s="2" t="str">
        <f t="shared" si="3"/>
        <v>-in</v>
      </c>
      <c r="H95" s="19" t="s">
        <v>2526</v>
      </c>
      <c r="I95" s="11" t="s">
        <v>306</v>
      </c>
      <c r="J95" s="11" t="s">
        <v>307</v>
      </c>
      <c r="K95" s="12" t="s">
        <v>229</v>
      </c>
      <c r="L95" s="12"/>
      <c r="M95" s="11" t="s">
        <v>76</v>
      </c>
      <c r="N95" s="2" t="s">
        <v>165</v>
      </c>
      <c r="O95" s="2"/>
    </row>
    <row r="96" spans="1:15" ht="15" x14ac:dyDescent="0.2">
      <c r="A96" s="2" t="s">
        <v>2002</v>
      </c>
      <c r="B96" s="2" t="s">
        <v>2003</v>
      </c>
      <c r="C96" s="2" t="str">
        <f t="shared" si="0"/>
        <v>suffix</v>
      </c>
      <c r="D96" s="2" t="s">
        <v>2009</v>
      </c>
      <c r="E96" s="2" t="str">
        <f t="shared" si="1"/>
        <v>What is the affix used to inflect the word \"buhayin\"?</v>
      </c>
      <c r="F96" s="2" t="str">
        <f t="shared" si="2"/>
        <v>Ano ang panlapi na ginamit sa salitang \"buhayin\"?</v>
      </c>
      <c r="G96" s="2" t="str">
        <f t="shared" si="3"/>
        <v>-in</v>
      </c>
      <c r="H96" s="19" t="s">
        <v>2527</v>
      </c>
      <c r="I96" s="11" t="s">
        <v>308</v>
      </c>
      <c r="J96" s="11" t="s">
        <v>309</v>
      </c>
      <c r="K96" s="12" t="s">
        <v>229</v>
      </c>
      <c r="L96" s="12"/>
      <c r="M96" s="11" t="s">
        <v>76</v>
      </c>
      <c r="N96" s="2" t="s">
        <v>165</v>
      </c>
      <c r="O96" s="2"/>
    </row>
    <row r="97" spans="1:15" ht="15" x14ac:dyDescent="0.2">
      <c r="A97" s="2" t="s">
        <v>2002</v>
      </c>
      <c r="B97" s="2" t="s">
        <v>2003</v>
      </c>
      <c r="C97" s="2" t="str">
        <f t="shared" si="0"/>
        <v>suffix</v>
      </c>
      <c r="D97" s="2" t="s">
        <v>2009</v>
      </c>
      <c r="E97" s="2" t="str">
        <f t="shared" si="1"/>
        <v>What is the affix used to inflect the word \"sisihin\"?</v>
      </c>
      <c r="F97" s="2" t="str">
        <f t="shared" si="2"/>
        <v>Ano ang panlapi na ginamit sa salitang \"sisihin\"?</v>
      </c>
      <c r="G97" s="2" t="str">
        <f t="shared" si="3"/>
        <v>-hin</v>
      </c>
      <c r="H97" s="19" t="s">
        <v>2528</v>
      </c>
      <c r="I97" s="11" t="s">
        <v>310</v>
      </c>
      <c r="J97" s="11" t="s">
        <v>311</v>
      </c>
      <c r="K97" s="12" t="s">
        <v>252</v>
      </c>
      <c r="L97" s="12" t="s">
        <v>229</v>
      </c>
      <c r="M97" s="11" t="s">
        <v>76</v>
      </c>
      <c r="N97" s="2" t="s">
        <v>165</v>
      </c>
      <c r="O97" s="2"/>
    </row>
    <row r="98" spans="1:15" ht="15" x14ac:dyDescent="0.2">
      <c r="A98" s="2" t="s">
        <v>2002</v>
      </c>
      <c r="B98" s="2" t="s">
        <v>2003</v>
      </c>
      <c r="C98" s="2" t="str">
        <f t="shared" si="0"/>
        <v>suffix</v>
      </c>
      <c r="D98" s="2" t="s">
        <v>2009</v>
      </c>
      <c r="E98" s="2" t="str">
        <f t="shared" si="1"/>
        <v>What is the affix used to inflect the word \"sabihin\"?</v>
      </c>
      <c r="F98" s="2" t="str">
        <f t="shared" si="2"/>
        <v>Ano ang panlapi na ginamit sa salitang \"sabihin\"?</v>
      </c>
      <c r="G98" s="2" t="str">
        <f t="shared" si="3"/>
        <v>-hin</v>
      </c>
      <c r="H98" s="19" t="s">
        <v>2529</v>
      </c>
      <c r="I98" s="11" t="s">
        <v>312</v>
      </c>
      <c r="J98" s="11" t="s">
        <v>313</v>
      </c>
      <c r="K98" s="12" t="s">
        <v>252</v>
      </c>
      <c r="L98" s="12" t="s">
        <v>229</v>
      </c>
      <c r="M98" s="11" t="s">
        <v>76</v>
      </c>
      <c r="N98" s="2" t="s">
        <v>165</v>
      </c>
      <c r="O98" s="2"/>
    </row>
    <row r="99" spans="1:15" ht="15" x14ac:dyDescent="0.2">
      <c r="A99" s="2" t="s">
        <v>2002</v>
      </c>
      <c r="B99" s="2" t="s">
        <v>2003</v>
      </c>
      <c r="C99" s="2" t="str">
        <f t="shared" si="0"/>
        <v>suffix</v>
      </c>
      <c r="D99" s="2" t="s">
        <v>2009</v>
      </c>
      <c r="E99" s="2" t="str">
        <f t="shared" si="1"/>
        <v>What is the affix used to inflect the word \"punahin\"?</v>
      </c>
      <c r="F99" s="2" t="str">
        <f t="shared" si="2"/>
        <v>Ano ang panlapi na ginamit sa salitang \"punahin\"?</v>
      </c>
      <c r="G99" s="2" t="str">
        <f t="shared" si="3"/>
        <v>-hin</v>
      </c>
      <c r="H99" s="19" t="s">
        <v>2530</v>
      </c>
      <c r="I99" s="11" t="s">
        <v>314</v>
      </c>
      <c r="J99" s="11" t="s">
        <v>315</v>
      </c>
      <c r="K99" s="12" t="s">
        <v>252</v>
      </c>
      <c r="L99" s="12" t="s">
        <v>229</v>
      </c>
      <c r="M99" s="11" t="s">
        <v>76</v>
      </c>
      <c r="N99" s="2" t="s">
        <v>165</v>
      </c>
      <c r="O99" s="2"/>
    </row>
    <row r="100" spans="1:15" ht="15" x14ac:dyDescent="0.2">
      <c r="A100" s="2" t="s">
        <v>2002</v>
      </c>
      <c r="B100" s="2" t="s">
        <v>2003</v>
      </c>
      <c r="C100" s="2" t="str">
        <f t="shared" si="0"/>
        <v>suffix</v>
      </c>
      <c r="D100" s="2" t="s">
        <v>2009</v>
      </c>
      <c r="E100" s="2" t="str">
        <f t="shared" si="1"/>
        <v>What is the affix used to inflect the word \"tablahin\"?</v>
      </c>
      <c r="F100" s="2" t="str">
        <f t="shared" si="2"/>
        <v>Ano ang panlapi na ginamit sa salitang \"tablahin\"?</v>
      </c>
      <c r="G100" s="2" t="str">
        <f t="shared" si="3"/>
        <v>-hin</v>
      </c>
      <c r="H100" s="19" t="s">
        <v>2531</v>
      </c>
      <c r="I100" s="11" t="s">
        <v>316</v>
      </c>
      <c r="J100" s="11" t="s">
        <v>317</v>
      </c>
      <c r="K100" s="12" t="s">
        <v>252</v>
      </c>
      <c r="L100" s="12" t="s">
        <v>229</v>
      </c>
      <c r="M100" s="11" t="s">
        <v>76</v>
      </c>
      <c r="N100" s="2" t="s">
        <v>165</v>
      </c>
      <c r="O100" s="2"/>
    </row>
    <row r="101" spans="1:15" ht="15" x14ac:dyDescent="0.2">
      <c r="A101" s="2" t="s">
        <v>2002</v>
      </c>
      <c r="B101" s="2" t="s">
        <v>2003</v>
      </c>
      <c r="C101" s="2" t="str">
        <f t="shared" si="0"/>
        <v>suffix</v>
      </c>
      <c r="D101" s="2" t="s">
        <v>2009</v>
      </c>
      <c r="E101" s="2" t="str">
        <f t="shared" si="1"/>
        <v>What is the affix used to inflect the word \"unahin\"?</v>
      </c>
      <c r="F101" s="2" t="str">
        <f t="shared" si="2"/>
        <v>Ano ang panlapi na ginamit sa salitang \"unahin\"?</v>
      </c>
      <c r="G101" s="2" t="str">
        <f t="shared" si="3"/>
        <v>-hin</v>
      </c>
      <c r="H101" s="19" t="s">
        <v>2532</v>
      </c>
      <c r="I101" s="11" t="s">
        <v>318</v>
      </c>
      <c r="J101" s="11" t="s">
        <v>319</v>
      </c>
      <c r="K101" s="12" t="s">
        <v>252</v>
      </c>
      <c r="L101" s="12" t="s">
        <v>229</v>
      </c>
      <c r="M101" s="11" t="s">
        <v>76</v>
      </c>
      <c r="N101" s="2" t="s">
        <v>165</v>
      </c>
      <c r="O101" s="2"/>
    </row>
    <row r="102" spans="1:15" ht="13" x14ac:dyDescent="0.15">
      <c r="A102" s="2" t="s">
        <v>2002</v>
      </c>
      <c r="B102" s="2" t="s">
        <v>2003</v>
      </c>
      <c r="C102" s="2" t="str">
        <f t="shared" si="0"/>
        <v>infix</v>
      </c>
      <c r="D102" s="2" t="s">
        <v>2011</v>
      </c>
      <c r="E102" s="2" t="str">
        <f t="shared" si="1"/>
        <v>What is the affix used to inflect the word \"nilipad\"?</v>
      </c>
      <c r="F102" s="2" t="str">
        <f t="shared" si="2"/>
        <v>Ano ang panlapi na ginamit sa salitang \"nilipad\"?</v>
      </c>
      <c r="G102" s="2" t="str">
        <f t="shared" si="3"/>
        <v>-in-</v>
      </c>
      <c r="H102" s="19" t="s">
        <v>2533</v>
      </c>
      <c r="I102" s="2" t="s">
        <v>320</v>
      </c>
      <c r="J102" s="2" t="s">
        <v>231</v>
      </c>
      <c r="K102" s="2" t="s">
        <v>321</v>
      </c>
      <c r="L102" s="2"/>
      <c r="M102" s="2" t="s">
        <v>71</v>
      </c>
      <c r="N102" s="2" t="s">
        <v>322</v>
      </c>
    </row>
    <row r="103" spans="1:15" ht="13" x14ac:dyDescent="0.15">
      <c r="A103" s="2" t="s">
        <v>2002</v>
      </c>
      <c r="B103" s="2" t="s">
        <v>2003</v>
      </c>
      <c r="C103" s="2" t="str">
        <f t="shared" si="0"/>
        <v>infix</v>
      </c>
      <c r="D103" s="2" t="s">
        <v>2011</v>
      </c>
      <c r="E103" s="2" t="str">
        <f t="shared" si="1"/>
        <v>What is the affix used to inflect the word \"nilangaw\"?</v>
      </c>
      <c r="F103" s="2" t="str">
        <f t="shared" si="2"/>
        <v>Ano ang panlapi na ginamit sa salitang \"nilangaw\"?</v>
      </c>
      <c r="G103" s="2" t="str">
        <f t="shared" si="3"/>
        <v>-in-</v>
      </c>
      <c r="H103" s="19" t="s">
        <v>2534</v>
      </c>
      <c r="I103" s="2" t="s">
        <v>323</v>
      </c>
      <c r="J103" s="2" t="s">
        <v>324</v>
      </c>
      <c r="K103" s="2" t="s">
        <v>321</v>
      </c>
      <c r="L103" s="2"/>
      <c r="M103" s="2" t="s">
        <v>71</v>
      </c>
      <c r="N103" s="2" t="s">
        <v>322</v>
      </c>
    </row>
    <row r="104" spans="1:15" ht="13" x14ac:dyDescent="0.15">
      <c r="A104" s="2" t="s">
        <v>2002</v>
      </c>
      <c r="B104" s="2" t="s">
        <v>2003</v>
      </c>
      <c r="C104" s="2" t="str">
        <f t="shared" si="0"/>
        <v>infix</v>
      </c>
      <c r="D104" s="2" t="s">
        <v>2011</v>
      </c>
      <c r="E104" s="2" t="str">
        <f t="shared" si="1"/>
        <v>What is the affix used to inflect the word \"nilibot\"?</v>
      </c>
      <c r="F104" s="2" t="str">
        <f t="shared" si="2"/>
        <v>Ano ang panlapi na ginamit sa salitang \"nilibot\"?</v>
      </c>
      <c r="G104" s="2" t="str">
        <f t="shared" si="3"/>
        <v>-in-</v>
      </c>
      <c r="H104" s="19" t="s">
        <v>2535</v>
      </c>
      <c r="I104" s="2" t="s">
        <v>325</v>
      </c>
      <c r="J104" s="2" t="s">
        <v>326</v>
      </c>
      <c r="K104" s="2" t="s">
        <v>321</v>
      </c>
      <c r="L104" s="2"/>
      <c r="M104" s="2" t="s">
        <v>71</v>
      </c>
      <c r="N104" s="2" t="s">
        <v>322</v>
      </c>
    </row>
    <row r="105" spans="1:15" ht="13" x14ac:dyDescent="0.15">
      <c r="A105" s="2" t="s">
        <v>2002</v>
      </c>
      <c r="B105" s="2" t="s">
        <v>2003</v>
      </c>
      <c r="C105" s="2" t="str">
        <f t="shared" si="0"/>
        <v>infix</v>
      </c>
      <c r="D105" s="2" t="s">
        <v>2011</v>
      </c>
      <c r="E105" s="2" t="str">
        <f t="shared" si="1"/>
        <v>What is the affix used to inflect the word \"nilisan\"?</v>
      </c>
      <c r="F105" s="2" t="str">
        <f t="shared" si="2"/>
        <v>Ano ang panlapi na ginamit sa salitang \"nilisan\"?</v>
      </c>
      <c r="G105" s="2" t="str">
        <f t="shared" si="3"/>
        <v>-in-</v>
      </c>
      <c r="H105" s="19" t="s">
        <v>2536</v>
      </c>
      <c r="I105" s="2" t="s">
        <v>327</v>
      </c>
      <c r="J105" s="2" t="s">
        <v>328</v>
      </c>
      <c r="K105" s="2" t="s">
        <v>321</v>
      </c>
      <c r="L105" s="2"/>
      <c r="M105" s="2" t="s">
        <v>71</v>
      </c>
      <c r="N105" s="2" t="s">
        <v>322</v>
      </c>
    </row>
    <row r="106" spans="1:15" ht="13" x14ac:dyDescent="0.15">
      <c r="A106" s="2" t="s">
        <v>2002</v>
      </c>
      <c r="B106" s="2" t="s">
        <v>2003</v>
      </c>
      <c r="C106" s="2" t="str">
        <f t="shared" si="0"/>
        <v>infix</v>
      </c>
      <c r="D106" s="2" t="s">
        <v>2011</v>
      </c>
      <c r="E106" s="2" t="str">
        <f t="shared" si="1"/>
        <v>What is the affix used to inflect the word \"nilito\"?</v>
      </c>
      <c r="F106" s="2" t="str">
        <f t="shared" si="2"/>
        <v>Ano ang panlapi na ginamit sa salitang \"nilito\"?</v>
      </c>
      <c r="G106" s="2" t="str">
        <f t="shared" si="3"/>
        <v>-in-</v>
      </c>
      <c r="H106" s="19" t="s">
        <v>2537</v>
      </c>
      <c r="I106" s="2" t="s">
        <v>329</v>
      </c>
      <c r="J106" s="2" t="s">
        <v>330</v>
      </c>
      <c r="K106" s="2" t="s">
        <v>321</v>
      </c>
      <c r="L106" s="2"/>
      <c r="M106" s="2" t="s">
        <v>71</v>
      </c>
      <c r="N106" s="2" t="s">
        <v>322</v>
      </c>
    </row>
    <row r="107" spans="1:15" ht="13" x14ac:dyDescent="0.15">
      <c r="A107" s="2" t="s">
        <v>2002</v>
      </c>
      <c r="B107" s="2" t="s">
        <v>2003</v>
      </c>
      <c r="C107" s="2" t="str">
        <f t="shared" si="0"/>
        <v>infix</v>
      </c>
      <c r="D107" s="2" t="s">
        <v>2011</v>
      </c>
      <c r="E107" s="2" t="str">
        <f t="shared" si="1"/>
        <v>What is the affix used to inflect the word \"nilagay\"?</v>
      </c>
      <c r="F107" s="2" t="str">
        <f t="shared" si="2"/>
        <v>Ano ang panlapi na ginamit sa salitang \"nilagay\"?</v>
      </c>
      <c r="G107" s="2" t="str">
        <f t="shared" si="3"/>
        <v>-in-</v>
      </c>
      <c r="H107" s="19" t="s">
        <v>2538</v>
      </c>
      <c r="I107" s="2" t="s">
        <v>331</v>
      </c>
      <c r="J107" s="2" t="s">
        <v>207</v>
      </c>
      <c r="K107" s="2" t="s">
        <v>321</v>
      </c>
      <c r="L107" s="2"/>
      <c r="M107" s="2" t="s">
        <v>71</v>
      </c>
      <c r="N107" s="2" t="s">
        <v>322</v>
      </c>
    </row>
    <row r="108" spans="1:15" ht="13" x14ac:dyDescent="0.15">
      <c r="A108" s="2" t="s">
        <v>2002</v>
      </c>
      <c r="B108" s="2" t="s">
        <v>2003</v>
      </c>
      <c r="C108" s="2" t="str">
        <f t="shared" si="0"/>
        <v>infix</v>
      </c>
      <c r="D108" s="2" t="s">
        <v>2011</v>
      </c>
      <c r="E108" s="2" t="str">
        <f t="shared" si="1"/>
        <v>What is the affix used to inflect the word \"nilason\"?</v>
      </c>
      <c r="F108" s="2" t="str">
        <f t="shared" si="2"/>
        <v>Ano ang panlapi na ginamit sa salitang \"nilason\"?</v>
      </c>
      <c r="G108" s="2" t="str">
        <f t="shared" si="3"/>
        <v>-in-</v>
      </c>
      <c r="H108" s="19" t="s">
        <v>2539</v>
      </c>
      <c r="I108" s="2" t="s">
        <v>332</v>
      </c>
      <c r="J108" s="2" t="s">
        <v>333</v>
      </c>
      <c r="K108" s="2" t="s">
        <v>321</v>
      </c>
      <c r="L108" s="2"/>
      <c r="M108" s="2" t="s">
        <v>71</v>
      </c>
      <c r="N108" s="2" t="s">
        <v>322</v>
      </c>
    </row>
    <row r="109" spans="1:15" ht="13" x14ac:dyDescent="0.15">
      <c r="A109" s="2" t="s">
        <v>2002</v>
      </c>
      <c r="B109" s="2" t="s">
        <v>2003</v>
      </c>
      <c r="C109" s="2" t="str">
        <f t="shared" si="0"/>
        <v>infix</v>
      </c>
      <c r="D109" s="2" t="s">
        <v>2011</v>
      </c>
      <c r="E109" s="2" t="str">
        <f t="shared" si="1"/>
        <v>What is the affix used to inflect the word \"niluklok\"?</v>
      </c>
      <c r="F109" s="2" t="str">
        <f t="shared" si="2"/>
        <v>Ano ang panlapi na ginamit sa salitang \"niluklok\"?</v>
      </c>
      <c r="G109" s="2" t="str">
        <f t="shared" si="3"/>
        <v>-in-</v>
      </c>
      <c r="H109" s="19" t="s">
        <v>2540</v>
      </c>
      <c r="I109" s="2" t="s">
        <v>334</v>
      </c>
      <c r="J109" s="2" t="s">
        <v>335</v>
      </c>
      <c r="K109" s="2" t="s">
        <v>321</v>
      </c>
      <c r="L109" s="2"/>
      <c r="M109" s="2" t="s">
        <v>71</v>
      </c>
      <c r="N109" s="2" t="s">
        <v>322</v>
      </c>
    </row>
    <row r="110" spans="1:15" ht="13" x14ac:dyDescent="0.15">
      <c r="A110" s="2" t="s">
        <v>2002</v>
      </c>
      <c r="B110" s="2" t="s">
        <v>2003</v>
      </c>
      <c r="C110" s="2" t="str">
        <f t="shared" si="0"/>
        <v>infix</v>
      </c>
      <c r="D110" s="2" t="s">
        <v>2011</v>
      </c>
      <c r="E110" s="2" t="str">
        <f t="shared" si="1"/>
        <v>What is the affix used to inflect the word \"niloko\"?</v>
      </c>
      <c r="F110" s="2" t="str">
        <f t="shared" si="2"/>
        <v>Ano ang panlapi na ginamit sa salitang \"niloko\"?</v>
      </c>
      <c r="G110" s="2" t="str">
        <f t="shared" si="3"/>
        <v>-in-</v>
      </c>
      <c r="H110" s="19" t="s">
        <v>2541</v>
      </c>
      <c r="I110" s="2" t="s">
        <v>336</v>
      </c>
      <c r="J110" s="2" t="s">
        <v>337</v>
      </c>
      <c r="K110" s="2" t="s">
        <v>321</v>
      </c>
      <c r="L110" s="2"/>
      <c r="M110" s="2" t="s">
        <v>71</v>
      </c>
      <c r="N110" s="2" t="s">
        <v>322</v>
      </c>
    </row>
    <row r="111" spans="1:15" ht="13" x14ac:dyDescent="0.15">
      <c r="A111" s="2" t="s">
        <v>2002</v>
      </c>
      <c r="B111" s="2" t="s">
        <v>2003</v>
      </c>
      <c r="C111" s="2" t="str">
        <f t="shared" si="0"/>
        <v>infix</v>
      </c>
      <c r="D111" s="2" t="s">
        <v>2011</v>
      </c>
      <c r="E111" s="2" t="str">
        <f t="shared" si="1"/>
        <v>What is the affix used to inflect the word \"nilagari\"?</v>
      </c>
      <c r="F111" s="2" t="str">
        <f t="shared" si="2"/>
        <v>Ano ang panlapi na ginamit sa salitang \"nilagari\"?</v>
      </c>
      <c r="G111" s="2" t="str">
        <f t="shared" si="3"/>
        <v>-in-</v>
      </c>
      <c r="H111" s="19" t="s">
        <v>2542</v>
      </c>
      <c r="I111" s="2" t="s">
        <v>338</v>
      </c>
      <c r="J111" s="2" t="s">
        <v>339</v>
      </c>
      <c r="K111" s="2" t="s">
        <v>321</v>
      </c>
      <c r="L111" s="2"/>
      <c r="M111" s="2" t="s">
        <v>71</v>
      </c>
      <c r="N111" s="2" t="s">
        <v>322</v>
      </c>
    </row>
    <row r="112" spans="1:15" ht="13" x14ac:dyDescent="0.15">
      <c r="A112" s="2" t="s">
        <v>2002</v>
      </c>
      <c r="B112" s="2" t="s">
        <v>2003</v>
      </c>
      <c r="C112" s="2" t="str">
        <f t="shared" si="0"/>
        <v>infix</v>
      </c>
      <c r="D112" s="2" t="s">
        <v>2011</v>
      </c>
      <c r="E112" s="2" t="str">
        <f t="shared" si="1"/>
        <v>What is the affix used to inflect the word \"nilatigo\"?</v>
      </c>
      <c r="F112" s="2" t="str">
        <f t="shared" si="2"/>
        <v>Ano ang panlapi na ginamit sa salitang \"nilatigo\"?</v>
      </c>
      <c r="G112" s="2" t="str">
        <f t="shared" si="3"/>
        <v>-in-</v>
      </c>
      <c r="H112" s="19" t="s">
        <v>2543</v>
      </c>
      <c r="I112" s="2" t="s">
        <v>340</v>
      </c>
      <c r="J112" s="2" t="s">
        <v>341</v>
      </c>
      <c r="K112" s="2" t="s">
        <v>321</v>
      </c>
      <c r="L112" s="2"/>
      <c r="M112" s="2" t="s">
        <v>71</v>
      </c>
      <c r="N112" s="2" t="s">
        <v>322</v>
      </c>
    </row>
    <row r="113" spans="1:14" ht="13" x14ac:dyDescent="0.15">
      <c r="A113" s="2" t="s">
        <v>2002</v>
      </c>
      <c r="B113" s="2" t="s">
        <v>2003</v>
      </c>
      <c r="C113" s="2" t="str">
        <f t="shared" si="0"/>
        <v>infix</v>
      </c>
      <c r="D113" s="2" t="s">
        <v>2011</v>
      </c>
      <c r="E113" s="2" t="str">
        <f t="shared" si="1"/>
        <v>What is the affix used to inflect the word \"nilaban\"?</v>
      </c>
      <c r="F113" s="2" t="str">
        <f t="shared" si="2"/>
        <v>Ano ang panlapi na ginamit sa salitang \"nilaban\"?</v>
      </c>
      <c r="G113" s="2" t="str">
        <f t="shared" si="3"/>
        <v>-in-</v>
      </c>
      <c r="H113" s="19" t="s">
        <v>2544</v>
      </c>
      <c r="I113" s="2" t="s">
        <v>342</v>
      </c>
      <c r="J113" s="2" t="s">
        <v>105</v>
      </c>
      <c r="K113" s="2" t="s">
        <v>321</v>
      </c>
      <c r="L113" s="2"/>
      <c r="M113" s="2" t="s">
        <v>71</v>
      </c>
      <c r="N113" s="2" t="s">
        <v>322</v>
      </c>
    </row>
    <row r="114" spans="1:14" ht="13" x14ac:dyDescent="0.15">
      <c r="A114" s="2" t="s">
        <v>2002</v>
      </c>
      <c r="B114" s="2" t="s">
        <v>2003</v>
      </c>
      <c r="C114" s="2" t="str">
        <f t="shared" si="0"/>
        <v>infix</v>
      </c>
      <c r="D114" s="2" t="s">
        <v>2011</v>
      </c>
      <c r="E114" s="2" t="str">
        <f t="shared" si="1"/>
        <v>What is the affix used to inflect the word \"niligpit\"?</v>
      </c>
      <c r="F114" s="2" t="str">
        <f t="shared" si="2"/>
        <v>Ano ang panlapi na ginamit sa salitang \"niligpit\"?</v>
      </c>
      <c r="G114" s="2" t="str">
        <f t="shared" si="3"/>
        <v>-in-</v>
      </c>
      <c r="H114" s="19" t="s">
        <v>2545</v>
      </c>
      <c r="I114" s="2" t="s">
        <v>343</v>
      </c>
      <c r="J114" s="2" t="s">
        <v>344</v>
      </c>
      <c r="K114" s="2" t="s">
        <v>321</v>
      </c>
      <c r="L114" s="2"/>
      <c r="M114" s="2" t="s">
        <v>71</v>
      </c>
      <c r="N114" s="2" t="s">
        <v>322</v>
      </c>
    </row>
    <row r="115" spans="1:14" ht="13" x14ac:dyDescent="0.15">
      <c r="A115" s="2" t="s">
        <v>2002</v>
      </c>
      <c r="B115" s="2" t="s">
        <v>2003</v>
      </c>
      <c r="C115" s="2" t="str">
        <f t="shared" si="0"/>
        <v>infix</v>
      </c>
      <c r="D115" s="2" t="s">
        <v>2011</v>
      </c>
      <c r="E115" s="2" t="str">
        <f t="shared" si="1"/>
        <v>What is the affix used to inflect the word \"nilampaso\"?</v>
      </c>
      <c r="F115" s="2" t="str">
        <f t="shared" si="2"/>
        <v>Ano ang panlapi na ginamit sa salitang \"nilampaso\"?</v>
      </c>
      <c r="G115" s="2" t="str">
        <f t="shared" si="3"/>
        <v>-in-</v>
      </c>
      <c r="H115" s="19" t="s">
        <v>2546</v>
      </c>
      <c r="I115" s="2" t="s">
        <v>345</v>
      </c>
      <c r="J115" s="2" t="s">
        <v>346</v>
      </c>
      <c r="K115" s="2" t="s">
        <v>321</v>
      </c>
      <c r="L115" s="2"/>
      <c r="M115" s="2" t="s">
        <v>71</v>
      </c>
      <c r="N115" s="2" t="s">
        <v>322</v>
      </c>
    </row>
    <row r="116" spans="1:14" ht="13" x14ac:dyDescent="0.15">
      <c r="A116" s="2" t="s">
        <v>2002</v>
      </c>
      <c r="B116" s="2" t="s">
        <v>2003</v>
      </c>
      <c r="C116" s="2" t="str">
        <f t="shared" si="0"/>
        <v>infix</v>
      </c>
      <c r="D116" s="2" t="s">
        <v>2011</v>
      </c>
      <c r="E116" s="2" t="str">
        <f t="shared" si="1"/>
        <v>What is the affix used to inflect the word \"niliko\"?</v>
      </c>
      <c r="F116" s="2" t="str">
        <f t="shared" si="2"/>
        <v>Ano ang panlapi na ginamit sa salitang \"niliko\"?</v>
      </c>
      <c r="G116" s="2" t="str">
        <f t="shared" si="3"/>
        <v>-in-</v>
      </c>
      <c r="H116" s="19" t="s">
        <v>2547</v>
      </c>
      <c r="I116" s="2" t="s">
        <v>347</v>
      </c>
      <c r="J116" s="2" t="s">
        <v>348</v>
      </c>
      <c r="K116" s="2" t="s">
        <v>321</v>
      </c>
      <c r="L116" s="2"/>
      <c r="M116" s="2" t="s">
        <v>71</v>
      </c>
      <c r="N116" s="2" t="s">
        <v>322</v>
      </c>
    </row>
    <row r="117" spans="1:14" ht="13" x14ac:dyDescent="0.15">
      <c r="A117" s="2" t="s">
        <v>2002</v>
      </c>
      <c r="B117" s="2" t="s">
        <v>2003</v>
      </c>
      <c r="C117" s="2" t="str">
        <f t="shared" si="0"/>
        <v>infix</v>
      </c>
      <c r="D117" s="2" t="s">
        <v>2011</v>
      </c>
      <c r="E117" s="2" t="str">
        <f t="shared" si="1"/>
        <v>What is the affix used to inflect the word \"nilambat\"?</v>
      </c>
      <c r="F117" s="2" t="str">
        <f t="shared" si="2"/>
        <v>Ano ang panlapi na ginamit sa salitang \"nilambat\"?</v>
      </c>
      <c r="G117" s="2" t="str">
        <f t="shared" si="3"/>
        <v>-in-</v>
      </c>
      <c r="H117" s="19" t="s">
        <v>2548</v>
      </c>
      <c r="I117" s="2" t="s">
        <v>349</v>
      </c>
      <c r="J117" s="2" t="s">
        <v>350</v>
      </c>
      <c r="K117" s="2" t="s">
        <v>321</v>
      </c>
      <c r="L117" s="2"/>
      <c r="M117" s="2" t="s">
        <v>71</v>
      </c>
      <c r="N117" s="2" t="s">
        <v>322</v>
      </c>
    </row>
    <row r="118" spans="1:14" ht="13" x14ac:dyDescent="0.15">
      <c r="A118" s="2" t="s">
        <v>2002</v>
      </c>
      <c r="B118" s="2" t="s">
        <v>2003</v>
      </c>
      <c r="C118" s="2" t="str">
        <f t="shared" si="0"/>
        <v>infix</v>
      </c>
      <c r="D118" s="2" t="s">
        <v>2011</v>
      </c>
      <c r="E118" s="2" t="str">
        <f t="shared" si="1"/>
        <v>What is the affix used to inflect the word \"niluto\"?</v>
      </c>
      <c r="F118" s="2" t="str">
        <f t="shared" si="2"/>
        <v>Ano ang panlapi na ginamit sa salitang \"niluto\"?</v>
      </c>
      <c r="G118" s="2" t="str">
        <f t="shared" si="3"/>
        <v>-in-</v>
      </c>
      <c r="H118" s="19" t="s">
        <v>2549</v>
      </c>
      <c r="I118" s="2" t="s">
        <v>351</v>
      </c>
      <c r="J118" s="2" t="s">
        <v>198</v>
      </c>
      <c r="K118" s="2" t="s">
        <v>321</v>
      </c>
      <c r="L118" s="2"/>
      <c r="M118" s="2" t="s">
        <v>71</v>
      </c>
      <c r="N118" s="2" t="s">
        <v>322</v>
      </c>
    </row>
    <row r="119" spans="1:14" ht="13" x14ac:dyDescent="0.15">
      <c r="A119" s="2" t="s">
        <v>2002</v>
      </c>
      <c r="B119" s="2" t="s">
        <v>2003</v>
      </c>
      <c r="C119" s="2" t="str">
        <f t="shared" si="0"/>
        <v>infix</v>
      </c>
      <c r="D119" s="2" t="s">
        <v>2011</v>
      </c>
      <c r="E119" s="2" t="str">
        <f t="shared" si="1"/>
        <v>What is the affix used to inflect the word \"nilapat\"?</v>
      </c>
      <c r="F119" s="2" t="str">
        <f t="shared" si="2"/>
        <v>Ano ang panlapi na ginamit sa salitang \"nilapat\"?</v>
      </c>
      <c r="G119" s="2" t="str">
        <f t="shared" si="3"/>
        <v>-in-</v>
      </c>
      <c r="H119" s="19" t="s">
        <v>2550</v>
      </c>
      <c r="I119" s="2" t="s">
        <v>352</v>
      </c>
      <c r="J119" s="2" t="s">
        <v>353</v>
      </c>
      <c r="K119" s="2" t="s">
        <v>321</v>
      </c>
      <c r="L119" s="2"/>
      <c r="M119" s="2" t="s">
        <v>71</v>
      </c>
      <c r="N119" s="2" t="s">
        <v>322</v>
      </c>
    </row>
    <row r="120" spans="1:14" ht="13" x14ac:dyDescent="0.15">
      <c r="A120" s="2" t="s">
        <v>2002</v>
      </c>
      <c r="B120" s="2" t="s">
        <v>2003</v>
      </c>
      <c r="C120" s="2" t="str">
        <f t="shared" si="0"/>
        <v>infix</v>
      </c>
      <c r="D120" s="2" t="s">
        <v>2011</v>
      </c>
      <c r="E120" s="2" t="str">
        <f t="shared" si="1"/>
        <v>What is the affix used to inflect the word \"niligaw\"?</v>
      </c>
      <c r="F120" s="2" t="str">
        <f t="shared" si="2"/>
        <v>Ano ang panlapi na ginamit sa salitang \"niligaw\"?</v>
      </c>
      <c r="G120" s="2" t="str">
        <f t="shared" si="3"/>
        <v>-in-</v>
      </c>
      <c r="H120" s="19" t="s">
        <v>2551</v>
      </c>
      <c r="I120" s="2" t="s">
        <v>354</v>
      </c>
      <c r="J120" s="2" t="s">
        <v>355</v>
      </c>
      <c r="K120" s="2" t="s">
        <v>321</v>
      </c>
      <c r="L120" s="2"/>
      <c r="M120" s="2" t="s">
        <v>71</v>
      </c>
      <c r="N120" s="2" t="s">
        <v>322</v>
      </c>
    </row>
    <row r="121" spans="1:14" ht="13" x14ac:dyDescent="0.15">
      <c r="A121" s="2" t="s">
        <v>2002</v>
      </c>
      <c r="B121" s="2" t="s">
        <v>2003</v>
      </c>
      <c r="C121" s="2" t="str">
        <f t="shared" si="0"/>
        <v>infix</v>
      </c>
      <c r="D121" s="2" t="s">
        <v>2011</v>
      </c>
      <c r="E121" s="2" t="str">
        <f t="shared" si="1"/>
        <v>What is the affix used to inflect the word \"nilubos\"?</v>
      </c>
      <c r="F121" s="2" t="str">
        <f t="shared" si="2"/>
        <v>Ano ang panlapi na ginamit sa salitang \"nilubos\"?</v>
      </c>
      <c r="G121" s="2" t="str">
        <f t="shared" si="3"/>
        <v>-in-</v>
      </c>
      <c r="H121" s="19" t="s">
        <v>2552</v>
      </c>
      <c r="I121" s="2" t="s">
        <v>356</v>
      </c>
      <c r="J121" s="2" t="s">
        <v>357</v>
      </c>
      <c r="K121" s="2" t="s">
        <v>321</v>
      </c>
      <c r="L121" s="2"/>
      <c r="M121" s="2" t="s">
        <v>71</v>
      </c>
      <c r="N121" s="2" t="s">
        <v>322</v>
      </c>
    </row>
    <row r="122" spans="1:14" ht="13" x14ac:dyDescent="0.15">
      <c r="A122" s="2" t="s">
        <v>2002</v>
      </c>
      <c r="B122" s="2" t="s">
        <v>2003</v>
      </c>
      <c r="C122" s="2" t="str">
        <f t="shared" si="0"/>
        <v>infix</v>
      </c>
      <c r="D122" s="2" t="s">
        <v>2011</v>
      </c>
      <c r="E122" s="2" t="str">
        <f t="shared" si="1"/>
        <v>What is the affix used to inflect the word \"nilipat\"?</v>
      </c>
      <c r="F122" s="2" t="str">
        <f t="shared" si="2"/>
        <v>Ano ang panlapi na ginamit sa salitang \"nilipat\"?</v>
      </c>
      <c r="G122" s="2" t="str">
        <f t="shared" si="3"/>
        <v>-in-</v>
      </c>
      <c r="H122" s="19" t="s">
        <v>2553</v>
      </c>
      <c r="I122" s="2" t="s">
        <v>358</v>
      </c>
      <c r="J122" s="2" t="s">
        <v>359</v>
      </c>
      <c r="K122" s="2" t="s">
        <v>321</v>
      </c>
      <c r="L122" s="2"/>
      <c r="M122" s="2" t="s">
        <v>71</v>
      </c>
      <c r="N122" s="2" t="s">
        <v>322</v>
      </c>
    </row>
    <row r="123" spans="1:14" ht="13" x14ac:dyDescent="0.15">
      <c r="A123" s="2" t="s">
        <v>2002</v>
      </c>
      <c r="B123" s="2" t="s">
        <v>2003</v>
      </c>
      <c r="C123" s="2" t="str">
        <f t="shared" si="0"/>
        <v>infix</v>
      </c>
      <c r="D123" s="2" t="s">
        <v>2011</v>
      </c>
      <c r="E123" s="2" t="str">
        <f t="shared" si="1"/>
        <v>What is the affix used to inflect the word \"nilusong\"?</v>
      </c>
      <c r="F123" s="2" t="str">
        <f t="shared" si="2"/>
        <v>Ano ang panlapi na ginamit sa salitang \"nilusong\"?</v>
      </c>
      <c r="G123" s="2" t="str">
        <f t="shared" si="3"/>
        <v>-in-</v>
      </c>
      <c r="H123" s="19" t="s">
        <v>2554</v>
      </c>
      <c r="I123" s="2" t="s">
        <v>360</v>
      </c>
      <c r="J123" s="2" t="s">
        <v>361</v>
      </c>
      <c r="K123" s="2" t="s">
        <v>321</v>
      </c>
      <c r="L123" s="2"/>
      <c r="M123" s="2" t="s">
        <v>71</v>
      </c>
      <c r="N123" s="2" t="s">
        <v>322</v>
      </c>
    </row>
    <row r="124" spans="1:14" ht="13" x14ac:dyDescent="0.15">
      <c r="A124" s="2" t="s">
        <v>2002</v>
      </c>
      <c r="B124" s="2" t="s">
        <v>2003</v>
      </c>
      <c r="C124" s="2" t="str">
        <f t="shared" si="0"/>
        <v>infix</v>
      </c>
      <c r="D124" s="2" t="s">
        <v>2011</v>
      </c>
      <c r="E124" s="2" t="str">
        <f t="shared" si="1"/>
        <v>What is the affix used to inflect the word \"nilipon\"?</v>
      </c>
      <c r="F124" s="2" t="str">
        <f t="shared" si="2"/>
        <v>Ano ang panlapi na ginamit sa salitang \"nilipon\"?</v>
      </c>
      <c r="G124" s="2" t="str">
        <f t="shared" si="3"/>
        <v>-in-</v>
      </c>
      <c r="H124" s="19" t="s">
        <v>2555</v>
      </c>
      <c r="I124" s="2" t="s">
        <v>362</v>
      </c>
      <c r="J124" s="2" t="s">
        <v>363</v>
      </c>
      <c r="K124" s="2" t="s">
        <v>321</v>
      </c>
      <c r="L124" s="2"/>
      <c r="M124" s="2" t="s">
        <v>71</v>
      </c>
      <c r="N124" s="2" t="s">
        <v>322</v>
      </c>
    </row>
    <row r="125" spans="1:14" ht="13" x14ac:dyDescent="0.15">
      <c r="A125" s="2" t="s">
        <v>2002</v>
      </c>
      <c r="B125" s="2" t="s">
        <v>2003</v>
      </c>
      <c r="C125" s="2" t="str">
        <f t="shared" si="0"/>
        <v>infix</v>
      </c>
      <c r="D125" s="2" t="s">
        <v>2011</v>
      </c>
      <c r="E125" s="2" t="str">
        <f t="shared" si="1"/>
        <v>What is the affix used to inflect the word \"niyanig\"?</v>
      </c>
      <c r="F125" s="2" t="str">
        <f t="shared" si="2"/>
        <v>Ano ang panlapi na ginamit sa salitang \"niyanig\"?</v>
      </c>
      <c r="G125" s="2" t="str">
        <f t="shared" si="3"/>
        <v>-in-</v>
      </c>
      <c r="H125" s="19" t="s">
        <v>2556</v>
      </c>
      <c r="I125" s="2" t="s">
        <v>364</v>
      </c>
      <c r="J125" s="2" t="s">
        <v>365</v>
      </c>
      <c r="K125" s="2" t="s">
        <v>321</v>
      </c>
      <c r="L125" s="2"/>
      <c r="M125" s="2" t="s">
        <v>71</v>
      </c>
      <c r="N125" s="2" t="s">
        <v>322</v>
      </c>
    </row>
    <row r="126" spans="1:14" ht="13" x14ac:dyDescent="0.15">
      <c r="A126" s="2" t="s">
        <v>2002</v>
      </c>
      <c r="B126" s="2" t="s">
        <v>2003</v>
      </c>
      <c r="C126" s="2" t="str">
        <f t="shared" si="0"/>
        <v>infix</v>
      </c>
      <c r="D126" s="2" t="s">
        <v>2011</v>
      </c>
      <c r="E126" s="2" t="str">
        <f t="shared" si="1"/>
        <v>What is the affix used to inflect the word \"niyakap\"?</v>
      </c>
      <c r="F126" s="2" t="str">
        <f t="shared" si="2"/>
        <v>Ano ang panlapi na ginamit sa salitang \"niyakap\"?</v>
      </c>
      <c r="G126" s="2" t="str">
        <f t="shared" si="3"/>
        <v>-in-</v>
      </c>
      <c r="H126" s="19" t="s">
        <v>2557</v>
      </c>
      <c r="I126" s="2" t="s">
        <v>366</v>
      </c>
      <c r="J126" s="2" t="s">
        <v>367</v>
      </c>
      <c r="K126" s="2" t="s">
        <v>321</v>
      </c>
      <c r="L126" s="2"/>
      <c r="M126" s="2" t="s">
        <v>71</v>
      </c>
      <c r="N126" s="2" t="s">
        <v>322</v>
      </c>
    </row>
    <row r="127" spans="1:14" ht="13" x14ac:dyDescent="0.15">
      <c r="A127" s="2" t="s">
        <v>2002</v>
      </c>
      <c r="B127" s="2" t="s">
        <v>2003</v>
      </c>
      <c r="C127" s="2" t="str">
        <f t="shared" si="0"/>
        <v>infix</v>
      </c>
      <c r="D127" s="2" t="s">
        <v>2011</v>
      </c>
      <c r="E127" s="2" t="str">
        <f t="shared" si="1"/>
        <v>What is the affix used to inflect the word \"niyapos\"?</v>
      </c>
      <c r="F127" s="2" t="str">
        <f t="shared" si="2"/>
        <v>Ano ang panlapi na ginamit sa salitang \"niyapos\"?</v>
      </c>
      <c r="G127" s="2" t="str">
        <f t="shared" si="3"/>
        <v>-in-</v>
      </c>
      <c r="H127" s="19" t="s">
        <v>2558</v>
      </c>
      <c r="I127" s="2" t="s">
        <v>368</v>
      </c>
      <c r="J127" s="2" t="s">
        <v>369</v>
      </c>
      <c r="K127" s="2" t="s">
        <v>321</v>
      </c>
      <c r="L127" s="2"/>
      <c r="M127" s="2" t="s">
        <v>71</v>
      </c>
      <c r="N127" s="2" t="s">
        <v>322</v>
      </c>
    </row>
    <row r="128" spans="1:14" ht="13" x14ac:dyDescent="0.15">
      <c r="A128" s="2" t="s">
        <v>2002</v>
      </c>
      <c r="B128" s="2" t="s">
        <v>2003</v>
      </c>
      <c r="C128" s="2" t="str">
        <f t="shared" si="0"/>
        <v>infix</v>
      </c>
      <c r="D128" s="2" t="s">
        <v>2011</v>
      </c>
      <c r="E128" s="2" t="str">
        <f t="shared" si="1"/>
        <v>What is the affix used to inflect the word \"niyari\"?</v>
      </c>
      <c r="F128" s="2" t="str">
        <f t="shared" si="2"/>
        <v>Ano ang panlapi na ginamit sa salitang \"niyari\"?</v>
      </c>
      <c r="G128" s="2" t="str">
        <f t="shared" si="3"/>
        <v>-in-</v>
      </c>
      <c r="H128" s="19" t="s">
        <v>2559</v>
      </c>
      <c r="I128" s="2" t="s">
        <v>370</v>
      </c>
      <c r="J128" s="2" t="s">
        <v>371</v>
      </c>
      <c r="K128" s="2" t="s">
        <v>321</v>
      </c>
      <c r="L128" s="2"/>
      <c r="M128" s="2" t="s">
        <v>71</v>
      </c>
      <c r="N128" s="2" t="s">
        <v>322</v>
      </c>
    </row>
    <row r="129" spans="1:15" ht="13" x14ac:dyDescent="0.15">
      <c r="A129" s="2" t="s">
        <v>2002</v>
      </c>
      <c r="B129" s="2" t="s">
        <v>2003</v>
      </c>
      <c r="C129" s="2" t="str">
        <f t="shared" si="0"/>
        <v>infix</v>
      </c>
      <c r="D129" s="2" t="s">
        <v>2011</v>
      </c>
      <c r="E129" s="2" t="str">
        <f t="shared" si="1"/>
        <v>What is the affix used to inflect the word \"niyaya\"?</v>
      </c>
      <c r="F129" s="2" t="str">
        <f t="shared" si="2"/>
        <v>Ano ang panlapi na ginamit sa salitang \"niyaya\"?</v>
      </c>
      <c r="G129" s="2" t="str">
        <f t="shared" si="3"/>
        <v>-in-</v>
      </c>
      <c r="H129" s="19" t="s">
        <v>2560</v>
      </c>
      <c r="I129" s="2" t="s">
        <v>372</v>
      </c>
      <c r="J129" s="2" t="s">
        <v>373</v>
      </c>
      <c r="K129" s="2" t="s">
        <v>321</v>
      </c>
      <c r="L129" s="2"/>
      <c r="M129" s="2" t="s">
        <v>71</v>
      </c>
      <c r="N129" s="2" t="s">
        <v>322</v>
      </c>
    </row>
    <row r="130" spans="1:15" ht="13" x14ac:dyDescent="0.15">
      <c r="A130" s="2" t="s">
        <v>2002</v>
      </c>
      <c r="B130" s="2" t="s">
        <v>2003</v>
      </c>
      <c r="C130" s="2" t="str">
        <f t="shared" si="0"/>
        <v>infix</v>
      </c>
      <c r="D130" s="2" t="s">
        <v>2011</v>
      </c>
      <c r="E130" s="2" t="str">
        <f t="shared" si="1"/>
        <v>What is the affix used to inflect the word \"niyuko\"?</v>
      </c>
      <c r="F130" s="2" t="str">
        <f t="shared" si="2"/>
        <v>Ano ang panlapi na ginamit sa salitang \"niyuko\"?</v>
      </c>
      <c r="G130" s="2" t="str">
        <f t="shared" si="3"/>
        <v>-in-</v>
      </c>
      <c r="H130" s="19" t="s">
        <v>2561</v>
      </c>
      <c r="I130" s="2" t="s">
        <v>374</v>
      </c>
      <c r="J130" s="2" t="s">
        <v>375</v>
      </c>
      <c r="K130" s="2" t="s">
        <v>321</v>
      </c>
      <c r="L130" s="2"/>
      <c r="M130" s="2" t="s">
        <v>71</v>
      </c>
      <c r="N130" s="2" t="s">
        <v>322</v>
      </c>
    </row>
    <row r="131" spans="1:15" ht="13" x14ac:dyDescent="0.15">
      <c r="A131" s="2" t="s">
        <v>2002</v>
      </c>
      <c r="B131" s="2" t="s">
        <v>2003</v>
      </c>
      <c r="C131" s="2" t="str">
        <f t="shared" si="0"/>
        <v>infix</v>
      </c>
      <c r="D131" s="2" t="s">
        <v>2011</v>
      </c>
      <c r="E131" s="2" t="str">
        <f t="shared" si="1"/>
        <v>What is the affix used to inflect the word \"niyupi\"?</v>
      </c>
      <c r="F131" s="2" t="str">
        <f t="shared" si="2"/>
        <v>Ano ang panlapi na ginamit sa salitang \"niyupi\"?</v>
      </c>
      <c r="G131" s="2" t="str">
        <f t="shared" si="3"/>
        <v>-in-</v>
      </c>
      <c r="H131" s="19" t="s">
        <v>2562</v>
      </c>
      <c r="I131" s="2" t="s">
        <v>376</v>
      </c>
      <c r="J131" s="2" t="s">
        <v>377</v>
      </c>
      <c r="K131" s="2" t="s">
        <v>321</v>
      </c>
      <c r="L131" s="2"/>
      <c r="M131" s="2" t="s">
        <v>71</v>
      </c>
      <c r="N131" s="2" t="s">
        <v>322</v>
      </c>
    </row>
    <row r="132" spans="1:15" ht="15" x14ac:dyDescent="0.2">
      <c r="A132" s="2" t="s">
        <v>2002</v>
      </c>
      <c r="B132" s="2" t="s">
        <v>2003</v>
      </c>
      <c r="C132" s="2" t="str">
        <f t="shared" si="0"/>
        <v>infix</v>
      </c>
      <c r="D132" s="11" t="s">
        <v>2009</v>
      </c>
      <c r="E132" s="2" t="str">
        <f t="shared" si="1"/>
        <v>What is the affix used to inflect the word \"kinain\"?</v>
      </c>
      <c r="F132" s="2" t="str">
        <f t="shared" si="2"/>
        <v>Ano ang panlapi na ginamit sa salitang \"kinain\"?</v>
      </c>
      <c r="G132" s="2" t="str">
        <f t="shared" si="3"/>
        <v>-in-</v>
      </c>
      <c r="H132" s="19" t="s">
        <v>2563</v>
      </c>
      <c r="I132" s="11" t="s">
        <v>378</v>
      </c>
      <c r="J132" s="11" t="s">
        <v>379</v>
      </c>
      <c r="K132" s="11" t="s">
        <v>321</v>
      </c>
      <c r="L132" s="11"/>
      <c r="M132" s="11" t="s">
        <v>71</v>
      </c>
      <c r="N132" s="2" t="s">
        <v>165</v>
      </c>
      <c r="O132" s="2"/>
    </row>
    <row r="133" spans="1:15" ht="15" x14ac:dyDescent="0.2">
      <c r="A133" s="2" t="s">
        <v>2002</v>
      </c>
      <c r="B133" s="2" t="s">
        <v>2003</v>
      </c>
      <c r="C133" s="2" t="str">
        <f t="shared" si="0"/>
        <v>infix</v>
      </c>
      <c r="D133" s="11" t="s">
        <v>2009</v>
      </c>
      <c r="E133" s="2" t="str">
        <f t="shared" si="1"/>
        <v>What is the affix used to inflect the word \"tinakbo\"?</v>
      </c>
      <c r="F133" s="2" t="str">
        <f t="shared" si="2"/>
        <v>Ano ang panlapi na ginamit sa salitang \"tinakbo\"?</v>
      </c>
      <c r="G133" s="2" t="str">
        <f t="shared" si="3"/>
        <v>-in-</v>
      </c>
      <c r="H133" s="19" t="s">
        <v>2564</v>
      </c>
      <c r="I133" s="11" t="s">
        <v>380</v>
      </c>
      <c r="J133" s="11" t="s">
        <v>381</v>
      </c>
      <c r="K133" s="11" t="s">
        <v>321</v>
      </c>
      <c r="L133" s="11"/>
      <c r="M133" s="11" t="s">
        <v>71</v>
      </c>
      <c r="N133" s="2" t="s">
        <v>165</v>
      </c>
      <c r="O133" s="2"/>
    </row>
    <row r="134" spans="1:15" ht="15" x14ac:dyDescent="0.2">
      <c r="A134" s="2" t="s">
        <v>2002</v>
      </c>
      <c r="B134" s="2" t="s">
        <v>2003</v>
      </c>
      <c r="C134" s="2" t="str">
        <f t="shared" si="0"/>
        <v>infix</v>
      </c>
      <c r="D134" s="11" t="s">
        <v>2009</v>
      </c>
      <c r="E134" s="2" t="str">
        <f t="shared" si="1"/>
        <v>What is the affix used to inflect the word \"sinipsip\"?</v>
      </c>
      <c r="F134" s="2" t="str">
        <f t="shared" si="2"/>
        <v>Ano ang panlapi na ginamit sa salitang \"sinipsip\"?</v>
      </c>
      <c r="G134" s="2" t="str">
        <f t="shared" si="3"/>
        <v>-in-</v>
      </c>
      <c r="H134" s="19" t="s">
        <v>2565</v>
      </c>
      <c r="I134" s="11" t="s">
        <v>382</v>
      </c>
      <c r="J134" s="11" t="s">
        <v>383</v>
      </c>
      <c r="K134" s="11" t="s">
        <v>321</v>
      </c>
      <c r="L134" s="11"/>
      <c r="M134" s="11" t="s">
        <v>71</v>
      </c>
      <c r="N134" s="2" t="s">
        <v>165</v>
      </c>
      <c r="O134" s="2"/>
    </row>
    <row r="135" spans="1:15" ht="15" x14ac:dyDescent="0.2">
      <c r="A135" s="2" t="s">
        <v>2002</v>
      </c>
      <c r="B135" s="2" t="s">
        <v>2003</v>
      </c>
      <c r="C135" s="2" t="str">
        <f t="shared" si="0"/>
        <v>infix</v>
      </c>
      <c r="D135" s="11" t="s">
        <v>2009</v>
      </c>
      <c r="E135" s="2" t="str">
        <f t="shared" si="1"/>
        <v>What is the affix used to inflect the word \"binunyag\"?</v>
      </c>
      <c r="F135" s="2" t="str">
        <f t="shared" si="2"/>
        <v>Ano ang panlapi na ginamit sa salitang \"binunyag\"?</v>
      </c>
      <c r="G135" s="2" t="str">
        <f t="shared" si="3"/>
        <v>-in-</v>
      </c>
      <c r="H135" s="19" t="s">
        <v>2566</v>
      </c>
      <c r="I135" s="11" t="s">
        <v>384</v>
      </c>
      <c r="J135" s="11" t="s">
        <v>385</v>
      </c>
      <c r="K135" s="11" t="s">
        <v>321</v>
      </c>
      <c r="L135" s="11"/>
      <c r="M135" s="11" t="s">
        <v>71</v>
      </c>
      <c r="N135" s="2" t="s">
        <v>165</v>
      </c>
      <c r="O135" s="2"/>
    </row>
    <row r="136" spans="1:15" ht="15" x14ac:dyDescent="0.2">
      <c r="A136" s="2" t="s">
        <v>2002</v>
      </c>
      <c r="B136" s="2" t="s">
        <v>2003</v>
      </c>
      <c r="C136" s="2" t="str">
        <f t="shared" si="0"/>
        <v>infix</v>
      </c>
      <c r="D136" s="11" t="s">
        <v>2009</v>
      </c>
      <c r="E136" s="2" t="str">
        <f t="shared" si="1"/>
        <v>What is the affix used to inflect the word \"kinuwento\"?</v>
      </c>
      <c r="F136" s="2" t="str">
        <f t="shared" si="2"/>
        <v>Ano ang panlapi na ginamit sa salitang \"kinuwento\"?</v>
      </c>
      <c r="G136" s="2" t="str">
        <f t="shared" si="3"/>
        <v>-in-</v>
      </c>
      <c r="H136" s="19" t="s">
        <v>2567</v>
      </c>
      <c r="I136" s="11" t="s">
        <v>386</v>
      </c>
      <c r="J136" s="11" t="s">
        <v>387</v>
      </c>
      <c r="K136" s="11" t="s">
        <v>321</v>
      </c>
      <c r="L136" s="11"/>
      <c r="M136" s="11" t="s">
        <v>71</v>
      </c>
      <c r="N136" s="2" t="s">
        <v>165</v>
      </c>
      <c r="O136" s="2"/>
    </row>
    <row r="137" spans="1:15" ht="15" x14ac:dyDescent="0.2">
      <c r="A137" s="2" t="s">
        <v>2002</v>
      </c>
      <c r="B137" s="2" t="s">
        <v>2003</v>
      </c>
      <c r="C137" s="2" t="str">
        <f t="shared" si="0"/>
        <v>infix</v>
      </c>
      <c r="D137" s="11" t="s">
        <v>2009</v>
      </c>
      <c r="E137" s="2" t="str">
        <f t="shared" si="1"/>
        <v>What is the affix used to inflect the word \"kinamot\"?</v>
      </c>
      <c r="F137" s="2" t="str">
        <f t="shared" si="2"/>
        <v>Ano ang panlapi na ginamit sa salitang \"kinamot\"?</v>
      </c>
      <c r="G137" s="2" t="str">
        <f t="shared" si="3"/>
        <v>-in-</v>
      </c>
      <c r="H137" s="19" t="s">
        <v>2568</v>
      </c>
      <c r="I137" s="11" t="s">
        <v>388</v>
      </c>
      <c r="J137" s="11" t="s">
        <v>389</v>
      </c>
      <c r="K137" s="11" t="s">
        <v>321</v>
      </c>
      <c r="L137" s="11"/>
      <c r="M137" s="11" t="s">
        <v>71</v>
      </c>
      <c r="N137" s="2" t="s">
        <v>165</v>
      </c>
      <c r="O137" s="2"/>
    </row>
    <row r="138" spans="1:15" ht="15" x14ac:dyDescent="0.2">
      <c r="A138" s="2" t="s">
        <v>2002</v>
      </c>
      <c r="B138" s="2" t="s">
        <v>2003</v>
      </c>
      <c r="C138" s="2" t="str">
        <f t="shared" si="0"/>
        <v>infix</v>
      </c>
      <c r="D138" s="11" t="s">
        <v>2009</v>
      </c>
      <c r="E138" s="2" t="str">
        <f t="shared" si="1"/>
        <v>What is the affix used to inflect the word \"hinagis\"?</v>
      </c>
      <c r="F138" s="2" t="str">
        <f t="shared" si="2"/>
        <v>Ano ang panlapi na ginamit sa salitang \"hinagis\"?</v>
      </c>
      <c r="G138" s="2" t="str">
        <f t="shared" si="3"/>
        <v>-in-</v>
      </c>
      <c r="H138" s="19" t="s">
        <v>2569</v>
      </c>
      <c r="I138" s="11" t="s">
        <v>390</v>
      </c>
      <c r="J138" s="11" t="s">
        <v>391</v>
      </c>
      <c r="K138" s="11" t="s">
        <v>321</v>
      </c>
      <c r="L138" s="11"/>
      <c r="M138" s="11" t="s">
        <v>71</v>
      </c>
      <c r="N138" s="2" t="s">
        <v>165</v>
      </c>
      <c r="O138" s="2"/>
    </row>
    <row r="139" spans="1:15" ht="15" x14ac:dyDescent="0.2">
      <c r="A139" s="2" t="s">
        <v>2002</v>
      </c>
      <c r="B139" s="2" t="s">
        <v>2003</v>
      </c>
      <c r="C139" s="2" t="str">
        <f t="shared" si="0"/>
        <v>infix</v>
      </c>
      <c r="D139" s="11" t="s">
        <v>2009</v>
      </c>
      <c r="E139" s="2" t="str">
        <f t="shared" si="1"/>
        <v>What is the affix used to inflect the word \"sinara\"?</v>
      </c>
      <c r="F139" s="2" t="str">
        <f t="shared" si="2"/>
        <v>Ano ang panlapi na ginamit sa salitang \"sinara\"?</v>
      </c>
      <c r="G139" s="2" t="str">
        <f t="shared" si="3"/>
        <v>-in-</v>
      </c>
      <c r="H139" s="19" t="s">
        <v>2570</v>
      </c>
      <c r="I139" s="11" t="s">
        <v>392</v>
      </c>
      <c r="J139" s="11" t="s">
        <v>393</v>
      </c>
      <c r="K139" s="11" t="s">
        <v>321</v>
      </c>
      <c r="L139" s="11"/>
      <c r="M139" s="11" t="s">
        <v>71</v>
      </c>
      <c r="N139" s="2" t="s">
        <v>165</v>
      </c>
      <c r="O139" s="2"/>
    </row>
    <row r="140" spans="1:15" ht="15" x14ac:dyDescent="0.2">
      <c r="A140" s="2" t="s">
        <v>2002</v>
      </c>
      <c r="B140" s="2" t="s">
        <v>2003</v>
      </c>
      <c r="C140" s="2" t="str">
        <f t="shared" si="0"/>
        <v>infix</v>
      </c>
      <c r="D140" s="11" t="s">
        <v>2009</v>
      </c>
      <c r="E140" s="2" t="str">
        <f t="shared" si="1"/>
        <v>What is the affix used to inflect the word \"pinasok\"?</v>
      </c>
      <c r="F140" s="2" t="str">
        <f t="shared" si="2"/>
        <v>Ano ang panlapi na ginamit sa salitang \"pinasok\"?</v>
      </c>
      <c r="G140" s="2" t="str">
        <f t="shared" si="3"/>
        <v>-in-</v>
      </c>
      <c r="H140" s="19" t="s">
        <v>2571</v>
      </c>
      <c r="I140" s="11" t="s">
        <v>394</v>
      </c>
      <c r="J140" s="11" t="s">
        <v>395</v>
      </c>
      <c r="K140" s="11" t="s">
        <v>321</v>
      </c>
      <c r="L140" s="11"/>
      <c r="M140" s="11" t="s">
        <v>71</v>
      </c>
      <c r="N140" s="2" t="s">
        <v>165</v>
      </c>
      <c r="O140" s="2"/>
    </row>
    <row r="141" spans="1:15" ht="15" x14ac:dyDescent="0.2">
      <c r="A141" s="2" t="s">
        <v>2002</v>
      </c>
      <c r="B141" s="2" t="s">
        <v>2003</v>
      </c>
      <c r="C141" s="2" t="str">
        <f t="shared" si="0"/>
        <v>infix</v>
      </c>
      <c r="D141" s="11" t="s">
        <v>2009</v>
      </c>
      <c r="E141" s="2" t="str">
        <f t="shared" si="1"/>
        <v>What is the affix used to inflect the word \"tinayo\"?</v>
      </c>
      <c r="F141" s="2" t="str">
        <f t="shared" si="2"/>
        <v>Ano ang panlapi na ginamit sa salitang \"tinayo\"?</v>
      </c>
      <c r="G141" s="2" t="str">
        <f t="shared" si="3"/>
        <v>-in-</v>
      </c>
      <c r="H141" s="19" t="s">
        <v>2572</v>
      </c>
      <c r="I141" s="11" t="s">
        <v>396</v>
      </c>
      <c r="J141" s="11" t="s">
        <v>397</v>
      </c>
      <c r="K141" s="11" t="s">
        <v>321</v>
      </c>
      <c r="L141" s="11"/>
      <c r="M141" s="11" t="s">
        <v>71</v>
      </c>
      <c r="N141" s="2" t="s">
        <v>165</v>
      </c>
      <c r="O141" s="2"/>
    </row>
    <row r="142" spans="1:15" ht="15" x14ac:dyDescent="0.2">
      <c r="A142" s="2" t="s">
        <v>2002</v>
      </c>
      <c r="B142" s="2" t="s">
        <v>2003</v>
      </c>
      <c r="C142" s="2" t="str">
        <f t="shared" si="0"/>
        <v>infix</v>
      </c>
      <c r="D142" s="11" t="s">
        <v>2009</v>
      </c>
      <c r="E142" s="2" t="str">
        <f t="shared" si="1"/>
        <v>What is the affix used to inflect the word \"sumayaw\"?</v>
      </c>
      <c r="F142" s="2" t="str">
        <f t="shared" si="2"/>
        <v>Ano ang panlapi na ginamit sa salitang \"sumayaw\"?</v>
      </c>
      <c r="G142" s="2" t="str">
        <f t="shared" si="3"/>
        <v>-um-</v>
      </c>
      <c r="H142" s="19" t="s">
        <v>2573</v>
      </c>
      <c r="I142" s="2" t="s">
        <v>398</v>
      </c>
      <c r="J142" s="2" t="s">
        <v>399</v>
      </c>
      <c r="K142" s="2" t="s">
        <v>400</v>
      </c>
      <c r="L142" s="2"/>
      <c r="M142" s="11" t="s">
        <v>71</v>
      </c>
      <c r="N142" s="2" t="s">
        <v>165</v>
      </c>
      <c r="O142" s="2"/>
    </row>
    <row r="143" spans="1:15" ht="15" x14ac:dyDescent="0.2">
      <c r="A143" s="2" t="s">
        <v>2002</v>
      </c>
      <c r="B143" s="2" t="s">
        <v>2003</v>
      </c>
      <c r="C143" s="2" t="str">
        <f t="shared" si="0"/>
        <v>infix</v>
      </c>
      <c r="D143" s="11" t="s">
        <v>2009</v>
      </c>
      <c r="E143" s="2" t="str">
        <f t="shared" si="1"/>
        <v>What is the affix used to inflect the word \"kumanta\"?</v>
      </c>
      <c r="F143" s="2" t="str">
        <f t="shared" si="2"/>
        <v>Ano ang panlapi na ginamit sa salitang \"kumanta\"?</v>
      </c>
      <c r="G143" s="2" t="str">
        <f t="shared" si="3"/>
        <v>-um-</v>
      </c>
      <c r="H143" s="19" t="s">
        <v>2574</v>
      </c>
      <c r="I143" s="11" t="s">
        <v>401</v>
      </c>
      <c r="J143" s="11" t="s">
        <v>190</v>
      </c>
      <c r="K143" s="2" t="s">
        <v>400</v>
      </c>
      <c r="L143" s="2"/>
      <c r="M143" s="11" t="s">
        <v>71</v>
      </c>
      <c r="N143" s="2" t="s">
        <v>165</v>
      </c>
      <c r="O143" s="2"/>
    </row>
    <row r="144" spans="1:15" ht="15" x14ac:dyDescent="0.2">
      <c r="A144" s="2" t="s">
        <v>2002</v>
      </c>
      <c r="B144" s="2" t="s">
        <v>2003</v>
      </c>
      <c r="C144" s="2" t="str">
        <f t="shared" si="0"/>
        <v>infix</v>
      </c>
      <c r="D144" s="11" t="s">
        <v>2009</v>
      </c>
      <c r="E144" s="2" t="str">
        <f t="shared" si="1"/>
        <v>What is the affix used to inflect the word \"lumayo\"?</v>
      </c>
      <c r="F144" s="2" t="str">
        <f t="shared" si="2"/>
        <v>Ano ang panlapi na ginamit sa salitang \"lumayo\"?</v>
      </c>
      <c r="G144" s="2" t="str">
        <f t="shared" si="3"/>
        <v>-um-</v>
      </c>
      <c r="H144" s="19" t="s">
        <v>2575</v>
      </c>
      <c r="I144" s="11" t="s">
        <v>402</v>
      </c>
      <c r="J144" s="11" t="s">
        <v>403</v>
      </c>
      <c r="K144" s="2" t="s">
        <v>400</v>
      </c>
      <c r="L144" s="2"/>
      <c r="M144" s="11" t="s">
        <v>71</v>
      </c>
      <c r="N144" s="2" t="s">
        <v>165</v>
      </c>
      <c r="O144" s="2"/>
    </row>
    <row r="145" spans="1:15" ht="15" x14ac:dyDescent="0.2">
      <c r="A145" s="2" t="s">
        <v>2002</v>
      </c>
      <c r="B145" s="2" t="s">
        <v>2003</v>
      </c>
      <c r="C145" s="2" t="str">
        <f t="shared" si="0"/>
        <v>infix</v>
      </c>
      <c r="D145" s="11" t="s">
        <v>2009</v>
      </c>
      <c r="E145" s="2" t="str">
        <f t="shared" si="1"/>
        <v>What is the affix used to inflect the word \"pumusta\"?</v>
      </c>
      <c r="F145" s="2" t="str">
        <f t="shared" si="2"/>
        <v>Ano ang panlapi na ginamit sa salitang \"pumusta\"?</v>
      </c>
      <c r="G145" s="2" t="str">
        <f t="shared" si="3"/>
        <v>-um-</v>
      </c>
      <c r="H145" s="19" t="s">
        <v>2576</v>
      </c>
      <c r="I145" s="11" t="s">
        <v>404</v>
      </c>
      <c r="J145" s="11" t="s">
        <v>405</v>
      </c>
      <c r="K145" s="2" t="s">
        <v>400</v>
      </c>
      <c r="L145" s="2"/>
      <c r="M145" s="11" t="s">
        <v>71</v>
      </c>
      <c r="N145" s="2" t="s">
        <v>165</v>
      </c>
      <c r="O145" s="2"/>
    </row>
    <row r="146" spans="1:15" ht="15" x14ac:dyDescent="0.2">
      <c r="A146" s="2" t="s">
        <v>2002</v>
      </c>
      <c r="B146" s="2" t="s">
        <v>2003</v>
      </c>
      <c r="C146" s="2" t="str">
        <f t="shared" si="0"/>
        <v>infix</v>
      </c>
      <c r="D146" s="11" t="s">
        <v>2009</v>
      </c>
      <c r="E146" s="2" t="str">
        <f t="shared" si="1"/>
        <v>What is the affix used to inflect the word \"kumuha\"?</v>
      </c>
      <c r="F146" s="2" t="str">
        <f t="shared" si="2"/>
        <v>Ano ang panlapi na ginamit sa salitang \"kumuha\"?</v>
      </c>
      <c r="G146" s="2" t="str">
        <f t="shared" si="3"/>
        <v>-um-</v>
      </c>
      <c r="H146" s="19" t="s">
        <v>2577</v>
      </c>
      <c r="I146" s="11" t="s">
        <v>406</v>
      </c>
      <c r="J146" s="11" t="s">
        <v>118</v>
      </c>
      <c r="K146" s="2" t="s">
        <v>400</v>
      </c>
      <c r="L146" s="2"/>
      <c r="M146" s="11" t="s">
        <v>71</v>
      </c>
      <c r="N146" s="2" t="s">
        <v>165</v>
      </c>
      <c r="O146" s="2"/>
    </row>
    <row r="147" spans="1:15" ht="15" x14ac:dyDescent="0.2">
      <c r="A147" s="2" t="s">
        <v>2002</v>
      </c>
      <c r="B147" s="2" t="s">
        <v>2003</v>
      </c>
      <c r="C147" s="2" t="str">
        <f t="shared" si="0"/>
        <v>infix</v>
      </c>
      <c r="D147" s="11" t="s">
        <v>2009</v>
      </c>
      <c r="E147" s="2" t="str">
        <f t="shared" si="1"/>
        <v>What is the affix used to inflect the word \"sumumpa\"?</v>
      </c>
      <c r="F147" s="2" t="str">
        <f t="shared" si="2"/>
        <v>Ano ang panlapi na ginamit sa salitang \"sumumpa\"?</v>
      </c>
      <c r="G147" s="2" t="str">
        <f t="shared" si="3"/>
        <v>-um-</v>
      </c>
      <c r="H147" s="19" t="s">
        <v>2578</v>
      </c>
      <c r="I147" s="11" t="s">
        <v>407</v>
      </c>
      <c r="J147" s="11" t="s">
        <v>408</v>
      </c>
      <c r="K147" s="2" t="s">
        <v>400</v>
      </c>
      <c r="L147" s="2"/>
      <c r="M147" s="11" t="s">
        <v>71</v>
      </c>
      <c r="N147" s="2" t="s">
        <v>165</v>
      </c>
      <c r="O147" s="2"/>
    </row>
    <row r="148" spans="1:15" ht="15" x14ac:dyDescent="0.2">
      <c r="A148" s="2" t="s">
        <v>2002</v>
      </c>
      <c r="B148" s="2" t="s">
        <v>2003</v>
      </c>
      <c r="C148" s="2" t="str">
        <f t="shared" si="0"/>
        <v>infix</v>
      </c>
      <c r="D148" s="11" t="s">
        <v>2009</v>
      </c>
      <c r="E148" s="2" t="str">
        <f t="shared" si="1"/>
        <v>What is the affix used to inflect the word \"lumindol\"?</v>
      </c>
      <c r="F148" s="2" t="str">
        <f t="shared" si="2"/>
        <v>Ano ang panlapi na ginamit sa salitang \"lumindol\"?</v>
      </c>
      <c r="G148" s="2" t="str">
        <f t="shared" si="3"/>
        <v>-um-</v>
      </c>
      <c r="H148" s="19" t="s">
        <v>2579</v>
      </c>
      <c r="I148" s="11" t="s">
        <v>409</v>
      </c>
      <c r="J148" s="11" t="s">
        <v>410</v>
      </c>
      <c r="K148" s="2" t="s">
        <v>400</v>
      </c>
      <c r="L148" s="2"/>
      <c r="M148" s="11" t="s">
        <v>71</v>
      </c>
      <c r="N148" s="2" t="s">
        <v>165</v>
      </c>
      <c r="O148" s="2"/>
    </row>
    <row r="149" spans="1:15" ht="15" x14ac:dyDescent="0.2">
      <c r="A149" s="2" t="s">
        <v>2002</v>
      </c>
      <c r="B149" s="2" t="s">
        <v>2003</v>
      </c>
      <c r="C149" s="2" t="str">
        <f t="shared" si="0"/>
        <v>infix</v>
      </c>
      <c r="D149" s="11" t="s">
        <v>2009</v>
      </c>
      <c r="E149" s="2" t="str">
        <f t="shared" si="1"/>
        <v>What is the affix used to inflect the word \"tumalon\"?</v>
      </c>
      <c r="F149" s="2" t="str">
        <f t="shared" si="2"/>
        <v>Ano ang panlapi na ginamit sa salitang \"tumalon\"?</v>
      </c>
      <c r="G149" s="2" t="str">
        <f t="shared" si="3"/>
        <v>-um-</v>
      </c>
      <c r="H149" s="19" t="s">
        <v>2580</v>
      </c>
      <c r="I149" s="11" t="s">
        <v>411</v>
      </c>
      <c r="J149" s="11" t="s">
        <v>412</v>
      </c>
      <c r="K149" s="2" t="s">
        <v>400</v>
      </c>
      <c r="L149" s="2"/>
      <c r="M149" s="11" t="s">
        <v>71</v>
      </c>
      <c r="N149" s="2" t="s">
        <v>165</v>
      </c>
      <c r="O149" s="2"/>
    </row>
    <row r="150" spans="1:15" ht="15" x14ac:dyDescent="0.2">
      <c r="A150" s="2" t="s">
        <v>2002</v>
      </c>
      <c r="B150" s="2" t="s">
        <v>2003</v>
      </c>
      <c r="C150" s="2" t="str">
        <f t="shared" si="0"/>
        <v>infix</v>
      </c>
      <c r="D150" s="11" t="s">
        <v>2009</v>
      </c>
      <c r="E150" s="2" t="str">
        <f t="shared" si="1"/>
        <v>What is the affix used to inflect the word \"sumuko\"?</v>
      </c>
      <c r="F150" s="2" t="str">
        <f t="shared" si="2"/>
        <v>Ano ang panlapi na ginamit sa salitang \"sumuko\"?</v>
      </c>
      <c r="G150" s="2" t="str">
        <f t="shared" si="3"/>
        <v>-um-</v>
      </c>
      <c r="H150" s="19" t="s">
        <v>2581</v>
      </c>
      <c r="I150" s="11" t="s">
        <v>413</v>
      </c>
      <c r="J150" s="11" t="s">
        <v>414</v>
      </c>
      <c r="K150" s="2" t="s">
        <v>400</v>
      </c>
      <c r="L150" s="2"/>
      <c r="M150" s="11" t="s">
        <v>71</v>
      </c>
      <c r="N150" s="2" t="s">
        <v>165</v>
      </c>
      <c r="O150" s="2"/>
    </row>
    <row r="151" spans="1:15" ht="15" x14ac:dyDescent="0.2">
      <c r="A151" s="2" t="s">
        <v>2002</v>
      </c>
      <c r="B151" s="2" t="s">
        <v>2003</v>
      </c>
      <c r="C151" s="2" t="str">
        <f t="shared" si="0"/>
        <v>infix</v>
      </c>
      <c r="D151" s="11" t="s">
        <v>2009</v>
      </c>
      <c r="E151" s="2" t="str">
        <f t="shared" si="1"/>
        <v>What is the affix used to inflect the word \"umasta\"?</v>
      </c>
      <c r="F151" s="2" t="str">
        <f t="shared" si="2"/>
        <v>Ano ang panlapi na ginamit sa salitang \"umasta\"?</v>
      </c>
      <c r="G151" s="2" t="str">
        <f t="shared" si="3"/>
        <v>-um-</v>
      </c>
      <c r="H151" s="19" t="s">
        <v>2582</v>
      </c>
      <c r="I151" s="11" t="s">
        <v>415</v>
      </c>
      <c r="J151" s="11" t="s">
        <v>416</v>
      </c>
      <c r="K151" s="2" t="s">
        <v>400</v>
      </c>
      <c r="L151" s="2"/>
      <c r="M151" s="11" t="s">
        <v>71</v>
      </c>
      <c r="N151" s="2" t="s">
        <v>165</v>
      </c>
      <c r="O151" s="2"/>
    </row>
    <row r="152" spans="1:15" ht="15" x14ac:dyDescent="0.2">
      <c r="A152" s="2" t="s">
        <v>2002</v>
      </c>
      <c r="B152" s="2" t="s">
        <v>2003</v>
      </c>
      <c r="C152" s="2" t="str">
        <f t="shared" si="0"/>
        <v>circumfix</v>
      </c>
      <c r="D152" s="11" t="s">
        <v>2009</v>
      </c>
      <c r="E152" s="2" t="str">
        <f t="shared" ref="E152:E171" si="4">"What is the prefix used to inflect the word " &amp; "\" &amp; """" &amp; I152 &amp; "\" &amp; """" &amp; "?"</f>
        <v>What is the prefix used to inflect the word \"pinaglabanan\"?</v>
      </c>
      <c r="F152" s="2" t="str">
        <f t="shared" ref="F152:F171" si="5">"Ano ang unlapi na ginamit sa salitang " &amp; "\" &amp; """" &amp; I152 &amp; "\" &amp; """" &amp; "?"</f>
        <v>Ano ang unlapi na ginamit sa salitang \"pinaglabanan\"?</v>
      </c>
      <c r="G152" s="2" t="str">
        <f t="shared" ref="G152:G171" si="6">LEFT(K152, FIND("+", K152) - 1)</f>
        <v>pinag-</v>
      </c>
      <c r="H152" s="19" t="s">
        <v>2583</v>
      </c>
      <c r="I152" s="11" t="s">
        <v>417</v>
      </c>
      <c r="J152" s="11" t="s">
        <v>105</v>
      </c>
      <c r="K152" s="11" t="s">
        <v>418</v>
      </c>
      <c r="L152" s="11"/>
      <c r="M152" s="11" t="s">
        <v>419</v>
      </c>
      <c r="N152" s="2" t="s">
        <v>165</v>
      </c>
      <c r="O152" s="2"/>
    </row>
    <row r="153" spans="1:15" ht="15" x14ac:dyDescent="0.2">
      <c r="A153" s="2" t="s">
        <v>2002</v>
      </c>
      <c r="B153" s="2" t="s">
        <v>2003</v>
      </c>
      <c r="C153" s="2" t="str">
        <f t="shared" si="0"/>
        <v>circumfix</v>
      </c>
      <c r="D153" s="11" t="s">
        <v>2009</v>
      </c>
      <c r="E153" s="2" t="str">
        <f t="shared" si="4"/>
        <v>What is the prefix used to inflect the word \"pagsabihan\"?</v>
      </c>
      <c r="F153" s="2" t="str">
        <f t="shared" si="5"/>
        <v>Ano ang unlapi na ginamit sa salitang \"pagsabihan\"?</v>
      </c>
      <c r="G153" s="2" t="str">
        <f t="shared" si="6"/>
        <v>pag-</v>
      </c>
      <c r="H153" s="19" t="s">
        <v>2584</v>
      </c>
      <c r="I153" s="11" t="s">
        <v>420</v>
      </c>
      <c r="J153" s="11" t="s">
        <v>313</v>
      </c>
      <c r="K153" s="11" t="s">
        <v>421</v>
      </c>
      <c r="L153" s="11"/>
      <c r="M153" s="11" t="s">
        <v>419</v>
      </c>
      <c r="N153" s="2" t="s">
        <v>165</v>
      </c>
      <c r="O153" s="2"/>
    </row>
    <row r="154" spans="1:15" ht="15" x14ac:dyDescent="0.2">
      <c r="A154" s="2" t="s">
        <v>2002</v>
      </c>
      <c r="B154" s="2" t="s">
        <v>2003</v>
      </c>
      <c r="C154" s="2" t="str">
        <f t="shared" si="0"/>
        <v>circumfix</v>
      </c>
      <c r="D154" s="11" t="s">
        <v>2008</v>
      </c>
      <c r="E154" s="2" t="str">
        <f t="shared" si="4"/>
        <v>What is the prefix used to inflect the word \"pagtulungan\"?</v>
      </c>
      <c r="F154" s="2" t="str">
        <f t="shared" si="5"/>
        <v>Ano ang unlapi na ginamit sa salitang \"pagtulungan\"?</v>
      </c>
      <c r="G154" s="2" t="str">
        <f t="shared" si="6"/>
        <v>pag-</v>
      </c>
      <c r="H154" s="19" t="s">
        <v>2585</v>
      </c>
      <c r="I154" s="11" t="s">
        <v>422</v>
      </c>
      <c r="J154" s="11" t="s">
        <v>423</v>
      </c>
      <c r="K154" s="11" t="s">
        <v>424</v>
      </c>
      <c r="L154" s="11"/>
      <c r="M154" s="11" t="s">
        <v>419</v>
      </c>
      <c r="N154" s="2" t="s">
        <v>224</v>
      </c>
    </row>
    <row r="155" spans="1:15" ht="15" x14ac:dyDescent="0.2">
      <c r="A155" s="2" t="s">
        <v>2002</v>
      </c>
      <c r="B155" s="2" t="s">
        <v>2003</v>
      </c>
      <c r="C155" s="2" t="str">
        <f t="shared" si="0"/>
        <v>circumfix</v>
      </c>
      <c r="D155" s="11" t="s">
        <v>2009</v>
      </c>
      <c r="E155" s="2" t="str">
        <f t="shared" si="4"/>
        <v>What is the prefix used to inflect the word \"magtawagan\"?</v>
      </c>
      <c r="F155" s="2" t="str">
        <f t="shared" si="5"/>
        <v>Ano ang unlapi na ginamit sa salitang \"magtawagan\"?</v>
      </c>
      <c r="G155" s="2" t="str">
        <f t="shared" si="6"/>
        <v>mag-</v>
      </c>
      <c r="H155" s="19" t="s">
        <v>2586</v>
      </c>
      <c r="I155" s="11" t="s">
        <v>425</v>
      </c>
      <c r="J155" s="11" t="s">
        <v>426</v>
      </c>
      <c r="K155" s="11" t="s">
        <v>427</v>
      </c>
      <c r="L155" s="11"/>
      <c r="M155" s="11" t="s">
        <v>419</v>
      </c>
      <c r="N155" s="2" t="s">
        <v>165</v>
      </c>
      <c r="O155" s="2"/>
    </row>
    <row r="156" spans="1:15" ht="15" x14ac:dyDescent="0.2">
      <c r="A156" s="2" t="s">
        <v>2002</v>
      </c>
      <c r="B156" s="2" t="s">
        <v>2003</v>
      </c>
      <c r="C156" s="2" t="str">
        <f t="shared" si="0"/>
        <v>circumfix</v>
      </c>
      <c r="D156" s="11" t="s">
        <v>2008</v>
      </c>
      <c r="E156" s="2" t="str">
        <f t="shared" si="4"/>
        <v>What is the prefix used to inflect the word \"magtulungan\"?</v>
      </c>
      <c r="F156" s="2" t="str">
        <f t="shared" si="5"/>
        <v>Ano ang unlapi na ginamit sa salitang \"magtulungan\"?</v>
      </c>
      <c r="G156" s="2" t="str">
        <f t="shared" si="6"/>
        <v>mag-</v>
      </c>
      <c r="H156" s="19" t="s">
        <v>2587</v>
      </c>
      <c r="I156" s="11" t="s">
        <v>428</v>
      </c>
      <c r="J156" s="11" t="s">
        <v>423</v>
      </c>
      <c r="K156" s="11" t="s">
        <v>427</v>
      </c>
      <c r="L156" s="11"/>
      <c r="M156" s="11" t="s">
        <v>419</v>
      </c>
      <c r="N156" s="2" t="s">
        <v>224</v>
      </c>
    </row>
    <row r="157" spans="1:15" ht="15" x14ac:dyDescent="0.2">
      <c r="A157" s="2" t="s">
        <v>2002</v>
      </c>
      <c r="B157" s="2" t="s">
        <v>2003</v>
      </c>
      <c r="C157" s="2" t="str">
        <f t="shared" si="0"/>
        <v>circumfix</v>
      </c>
      <c r="D157" s="11" t="s">
        <v>2009</v>
      </c>
      <c r="E157" s="2" t="str">
        <f t="shared" si="4"/>
        <v>What is the prefix used to inflect the word \"nagkampihan\"?</v>
      </c>
      <c r="F157" s="2" t="str">
        <f t="shared" si="5"/>
        <v>Ano ang unlapi na ginamit sa salitang \"nagkampihan\"?</v>
      </c>
      <c r="G157" s="2" t="str">
        <f t="shared" si="6"/>
        <v>nag-</v>
      </c>
      <c r="H157" s="19" t="s">
        <v>2588</v>
      </c>
      <c r="I157" s="11" t="s">
        <v>429</v>
      </c>
      <c r="J157" s="11" t="s">
        <v>430</v>
      </c>
      <c r="K157" s="11" t="s">
        <v>431</v>
      </c>
      <c r="L157" s="11"/>
      <c r="M157" s="11" t="s">
        <v>419</v>
      </c>
      <c r="N157" s="2" t="s">
        <v>165</v>
      </c>
      <c r="O157" s="2"/>
    </row>
    <row r="158" spans="1:15" ht="15" x14ac:dyDescent="0.2">
      <c r="A158" s="2" t="s">
        <v>2002</v>
      </c>
      <c r="B158" s="2" t="s">
        <v>2003</v>
      </c>
      <c r="C158" s="2" t="str">
        <f t="shared" si="0"/>
        <v>circumfix</v>
      </c>
      <c r="D158" s="11" t="s">
        <v>2009</v>
      </c>
      <c r="E158" s="2" t="str">
        <f t="shared" si="4"/>
        <v>What is the prefix used to inflect the word \"nagsisihan\"?</v>
      </c>
      <c r="F158" s="2" t="str">
        <f t="shared" si="5"/>
        <v>Ano ang unlapi na ginamit sa salitang \"nagsisihan\"?</v>
      </c>
      <c r="G158" s="2" t="str">
        <f t="shared" si="6"/>
        <v>nag-</v>
      </c>
      <c r="H158" s="19" t="s">
        <v>2589</v>
      </c>
      <c r="I158" s="11" t="s">
        <v>432</v>
      </c>
      <c r="J158" s="11" t="s">
        <v>311</v>
      </c>
      <c r="K158" s="11" t="s">
        <v>431</v>
      </c>
      <c r="L158" s="11"/>
      <c r="M158" s="11" t="s">
        <v>419</v>
      </c>
      <c r="N158" s="2" t="s">
        <v>165</v>
      </c>
      <c r="O158" s="2"/>
    </row>
    <row r="159" spans="1:15" ht="15" x14ac:dyDescent="0.2">
      <c r="A159" s="2" t="s">
        <v>2002</v>
      </c>
      <c r="B159" s="2" t="s">
        <v>2003</v>
      </c>
      <c r="C159" s="2" t="str">
        <f t="shared" si="0"/>
        <v>circumfix</v>
      </c>
      <c r="D159" s="11" t="s">
        <v>2009</v>
      </c>
      <c r="E159" s="2" t="str">
        <f t="shared" si="4"/>
        <v>What is the prefix used to inflect the word \"nakipaglandian\"?</v>
      </c>
      <c r="F159" s="2" t="str">
        <f t="shared" si="5"/>
        <v>Ano ang unlapi na ginamit sa salitang \"nakipaglandian\"?</v>
      </c>
      <c r="G159" s="2" t="str">
        <f t="shared" si="6"/>
        <v>nakipag-</v>
      </c>
      <c r="H159" s="19" t="s">
        <v>2590</v>
      </c>
      <c r="I159" s="11" t="s">
        <v>433</v>
      </c>
      <c r="J159" s="11" t="s">
        <v>434</v>
      </c>
      <c r="K159" s="11" t="s">
        <v>435</v>
      </c>
      <c r="L159" s="11"/>
      <c r="M159" s="11" t="s">
        <v>419</v>
      </c>
      <c r="N159" s="2" t="s">
        <v>165</v>
      </c>
      <c r="O159" s="2"/>
    </row>
    <row r="160" spans="1:15" ht="15" x14ac:dyDescent="0.2">
      <c r="A160" s="2" t="s">
        <v>2002</v>
      </c>
      <c r="B160" s="2" t="s">
        <v>2003</v>
      </c>
      <c r="C160" s="2" t="str">
        <f t="shared" si="0"/>
        <v>circumfix</v>
      </c>
      <c r="D160" s="11" t="s">
        <v>2008</v>
      </c>
      <c r="E160" s="2" t="str">
        <f t="shared" si="4"/>
        <v>What is the prefix used to inflect the word \"nakipagsagutan\"?</v>
      </c>
      <c r="F160" s="2" t="str">
        <f t="shared" si="5"/>
        <v>Ano ang unlapi na ginamit sa salitang \"nakipagsagutan\"?</v>
      </c>
      <c r="G160" s="2" t="str">
        <f t="shared" si="6"/>
        <v>nakipag-</v>
      </c>
      <c r="H160" s="19" t="s">
        <v>2591</v>
      </c>
      <c r="I160" s="11" t="s">
        <v>436</v>
      </c>
      <c r="J160" s="11" t="s">
        <v>195</v>
      </c>
      <c r="K160" s="11" t="s">
        <v>435</v>
      </c>
      <c r="L160" s="11"/>
      <c r="M160" s="11" t="s">
        <v>419</v>
      </c>
      <c r="N160" s="2" t="s">
        <v>224</v>
      </c>
    </row>
    <row r="161" spans="1:16" ht="15" x14ac:dyDescent="0.2">
      <c r="A161" s="2" t="s">
        <v>2002</v>
      </c>
      <c r="B161" s="2" t="s">
        <v>2003</v>
      </c>
      <c r="C161" s="2" t="str">
        <f t="shared" si="0"/>
        <v>circumfix</v>
      </c>
      <c r="D161" s="11" t="s">
        <v>2009</v>
      </c>
      <c r="E161" s="2" t="str">
        <f t="shared" si="4"/>
        <v>What is the prefix used to inflect the word \"makipag-unahan\"?</v>
      </c>
      <c r="F161" s="2" t="str">
        <f t="shared" si="5"/>
        <v>Ano ang unlapi na ginamit sa salitang \"makipag-unahan\"?</v>
      </c>
      <c r="G161" s="2" t="str">
        <f t="shared" si="6"/>
        <v>makipag-</v>
      </c>
      <c r="H161" s="19" t="s">
        <v>2592</v>
      </c>
      <c r="I161" s="11" t="s">
        <v>437</v>
      </c>
      <c r="J161" s="11" t="s">
        <v>319</v>
      </c>
      <c r="K161" s="11" t="s">
        <v>438</v>
      </c>
      <c r="L161" s="11" t="s">
        <v>439</v>
      </c>
      <c r="M161" s="11" t="s">
        <v>419</v>
      </c>
      <c r="N161" s="2" t="s">
        <v>165</v>
      </c>
      <c r="O161" s="2"/>
    </row>
    <row r="162" spans="1:16" ht="15" x14ac:dyDescent="0.2">
      <c r="A162" s="2" t="s">
        <v>2002</v>
      </c>
      <c r="B162" s="2" t="s">
        <v>2003</v>
      </c>
      <c r="C162" s="2" t="str">
        <f t="shared" si="0"/>
        <v>circumfix</v>
      </c>
      <c r="D162" s="11" t="s">
        <v>2009</v>
      </c>
      <c r="E162" s="2" t="str">
        <f t="shared" si="4"/>
        <v>What is the prefix used to inflect the word \"makipagpalitan\"?</v>
      </c>
      <c r="F162" s="2" t="str">
        <f t="shared" si="5"/>
        <v>Ano ang unlapi na ginamit sa salitang \"makipagpalitan\"?</v>
      </c>
      <c r="G162" s="2" t="str">
        <f t="shared" si="6"/>
        <v>makipag-</v>
      </c>
      <c r="H162" s="19" t="s">
        <v>2593</v>
      </c>
      <c r="I162" s="11" t="s">
        <v>440</v>
      </c>
      <c r="J162" s="11" t="s">
        <v>441</v>
      </c>
      <c r="K162" s="11" t="s">
        <v>439</v>
      </c>
      <c r="L162" s="11"/>
      <c r="M162" s="11" t="s">
        <v>419</v>
      </c>
      <c r="N162" s="2" t="s">
        <v>165</v>
      </c>
      <c r="O162" s="2"/>
    </row>
    <row r="163" spans="1:16" ht="15" x14ac:dyDescent="0.2">
      <c r="A163" s="2" t="s">
        <v>2002</v>
      </c>
      <c r="B163" s="2" t="s">
        <v>2003</v>
      </c>
      <c r="C163" s="2" t="str">
        <f t="shared" si="0"/>
        <v>circumfix</v>
      </c>
      <c r="D163" s="11" t="s">
        <v>2009</v>
      </c>
      <c r="E163" s="2" t="str">
        <f t="shared" si="4"/>
        <v>What is the prefix used to inflect the word \"makipagsapakan\"?</v>
      </c>
      <c r="F163" s="2" t="str">
        <f t="shared" si="5"/>
        <v>Ano ang unlapi na ginamit sa salitang \"makipagsapakan\"?</v>
      </c>
      <c r="G163" s="2" t="str">
        <f t="shared" si="6"/>
        <v>makipag-</v>
      </c>
      <c r="H163" s="19" t="s">
        <v>2594</v>
      </c>
      <c r="I163" s="11" t="s">
        <v>442</v>
      </c>
      <c r="J163" s="11" t="s">
        <v>443</v>
      </c>
      <c r="K163" s="11" t="s">
        <v>439</v>
      </c>
      <c r="L163" s="11"/>
      <c r="M163" s="11" t="s">
        <v>419</v>
      </c>
      <c r="N163" s="2" t="s">
        <v>165</v>
      </c>
      <c r="O163" s="2"/>
    </row>
    <row r="164" spans="1:16" ht="15" x14ac:dyDescent="0.2">
      <c r="A164" s="2" t="s">
        <v>2002</v>
      </c>
      <c r="B164" s="2" t="s">
        <v>2003</v>
      </c>
      <c r="C164" s="2" t="str">
        <f t="shared" si="0"/>
        <v>circumfix</v>
      </c>
      <c r="D164" s="11" t="s">
        <v>2010</v>
      </c>
      <c r="E164" s="2" t="str">
        <f t="shared" si="4"/>
        <v>What is the prefix used to inflect the word \"malaman\"?</v>
      </c>
      <c r="F164" s="2" t="str">
        <f t="shared" si="5"/>
        <v>Ano ang unlapi na ginamit sa salitang \"malaman\"?</v>
      </c>
      <c r="G164" s="2" t="str">
        <f t="shared" si="6"/>
        <v>ma-</v>
      </c>
      <c r="H164" s="19" t="s">
        <v>2595</v>
      </c>
      <c r="I164" s="11" t="s">
        <v>444</v>
      </c>
      <c r="J164" s="11" t="s">
        <v>445</v>
      </c>
      <c r="K164" s="11" t="s">
        <v>446</v>
      </c>
      <c r="L164" s="11"/>
      <c r="M164" s="11" t="s">
        <v>419</v>
      </c>
      <c r="N164" s="2" t="s">
        <v>447</v>
      </c>
    </row>
    <row r="165" spans="1:16" ht="15" x14ac:dyDescent="0.2">
      <c r="A165" s="2" t="s">
        <v>2002</v>
      </c>
      <c r="B165" s="2" t="s">
        <v>2003</v>
      </c>
      <c r="C165" s="2" t="str">
        <f t="shared" si="0"/>
        <v>circumfix</v>
      </c>
      <c r="D165" s="11" t="s">
        <v>2008</v>
      </c>
      <c r="E165" s="2" t="str">
        <f t="shared" si="4"/>
        <v>What is the prefix used to inflect the word \"matutuhan\"?</v>
      </c>
      <c r="F165" s="2" t="str">
        <f t="shared" si="5"/>
        <v>Ano ang unlapi na ginamit sa salitang \"matutuhan\"?</v>
      </c>
      <c r="G165" s="2" t="str">
        <f t="shared" si="6"/>
        <v>ma-</v>
      </c>
      <c r="H165" s="19" t="s">
        <v>2596</v>
      </c>
      <c r="I165" s="11" t="s">
        <v>448</v>
      </c>
      <c r="J165" s="11" t="s">
        <v>449</v>
      </c>
      <c r="K165" s="11" t="s">
        <v>450</v>
      </c>
      <c r="L165" s="11" t="s">
        <v>446</v>
      </c>
      <c r="M165" s="11" t="s">
        <v>419</v>
      </c>
      <c r="N165" s="2" t="s">
        <v>224</v>
      </c>
    </row>
    <row r="166" spans="1:16" ht="15" x14ac:dyDescent="0.2">
      <c r="A166" s="2" t="s">
        <v>2002</v>
      </c>
      <c r="B166" s="2" t="s">
        <v>2003</v>
      </c>
      <c r="C166" s="2" t="str">
        <f t="shared" si="0"/>
        <v>circumfix</v>
      </c>
      <c r="D166" s="11" t="s">
        <v>2008</v>
      </c>
      <c r="E166" s="2" t="str">
        <f t="shared" si="4"/>
        <v>What is the prefix used to inflect the word \"patulugin\"?</v>
      </c>
      <c r="F166" s="2" t="str">
        <f t="shared" si="5"/>
        <v>Ano ang unlapi na ginamit sa salitang \"patulugin\"?</v>
      </c>
      <c r="G166" s="2" t="str">
        <f t="shared" si="6"/>
        <v>pa-</v>
      </c>
      <c r="H166" s="19" t="s">
        <v>2597</v>
      </c>
      <c r="I166" s="11" t="s">
        <v>451</v>
      </c>
      <c r="J166" s="11" t="s">
        <v>452</v>
      </c>
      <c r="K166" s="11" t="s">
        <v>453</v>
      </c>
      <c r="L166" s="11"/>
      <c r="M166" s="11" t="s">
        <v>419</v>
      </c>
      <c r="N166" s="2" t="s">
        <v>224</v>
      </c>
    </row>
    <row r="167" spans="1:16" ht="15" x14ac:dyDescent="0.2">
      <c r="A167" s="2" t="s">
        <v>2002</v>
      </c>
      <c r="B167" s="2" t="s">
        <v>2003</v>
      </c>
      <c r="C167" s="2" t="str">
        <f t="shared" si="0"/>
        <v>circumfix</v>
      </c>
      <c r="D167" s="11" t="s">
        <v>2008</v>
      </c>
      <c r="E167" s="2" t="str">
        <f t="shared" si="4"/>
        <v>What is the prefix used to inflect the word \"papasukin\"?</v>
      </c>
      <c r="F167" s="2" t="str">
        <f t="shared" si="5"/>
        <v>Ano ang unlapi na ginamit sa salitang \"papasukin\"?</v>
      </c>
      <c r="G167" s="2" t="str">
        <f t="shared" si="6"/>
        <v>pa-</v>
      </c>
      <c r="H167" s="19" t="s">
        <v>2598</v>
      </c>
      <c r="I167" s="11" t="s">
        <v>454</v>
      </c>
      <c r="J167" s="11" t="s">
        <v>395</v>
      </c>
      <c r="K167" s="11" t="s">
        <v>453</v>
      </c>
      <c r="L167" s="11"/>
      <c r="M167" s="11" t="s">
        <v>419</v>
      </c>
      <c r="N167" s="2" t="s">
        <v>224</v>
      </c>
    </row>
    <row r="168" spans="1:16" ht="15" x14ac:dyDescent="0.2">
      <c r="A168" s="2" t="s">
        <v>2002</v>
      </c>
      <c r="B168" s="2" t="s">
        <v>2003</v>
      </c>
      <c r="C168" s="2" t="str">
        <f t="shared" si="0"/>
        <v>circumfix</v>
      </c>
      <c r="D168" s="11" t="s">
        <v>2009</v>
      </c>
      <c r="E168" s="2" t="str">
        <f t="shared" si="4"/>
        <v>What is the prefix used to inflect the word \"paglinisin\"?</v>
      </c>
      <c r="F168" s="2" t="str">
        <f t="shared" si="5"/>
        <v>Ano ang unlapi na ginamit sa salitang \"paglinisin\"?</v>
      </c>
      <c r="G168" s="2" t="str">
        <f t="shared" si="6"/>
        <v>pag-</v>
      </c>
      <c r="H168" s="19" t="s">
        <v>2599</v>
      </c>
      <c r="I168" s="11" t="s">
        <v>455</v>
      </c>
      <c r="J168" s="11" t="s">
        <v>210</v>
      </c>
      <c r="K168" s="11" t="s">
        <v>456</v>
      </c>
      <c r="L168" s="11"/>
      <c r="M168" s="11" t="s">
        <v>419</v>
      </c>
      <c r="N168" s="2" t="s">
        <v>165</v>
      </c>
      <c r="O168" s="2"/>
    </row>
    <row r="169" spans="1:16" ht="15" x14ac:dyDescent="0.2">
      <c r="A169" s="2" t="s">
        <v>2002</v>
      </c>
      <c r="B169" s="2" t="s">
        <v>2003</v>
      </c>
      <c r="C169" s="2" t="str">
        <f t="shared" si="0"/>
        <v>circumfix</v>
      </c>
      <c r="D169" s="11" t="s">
        <v>2009</v>
      </c>
      <c r="E169" s="2" t="str">
        <f t="shared" si="4"/>
        <v>What is the prefix used to inflect the word \"pag-aralin\"?</v>
      </c>
      <c r="F169" s="2" t="str">
        <f t="shared" si="5"/>
        <v>Ano ang unlapi na ginamit sa salitang \"pag-aralin\"?</v>
      </c>
      <c r="G169" s="2" t="str">
        <f t="shared" si="6"/>
        <v>pag-</v>
      </c>
      <c r="H169" s="19" t="s">
        <v>2600</v>
      </c>
      <c r="I169" s="11" t="s">
        <v>457</v>
      </c>
      <c r="J169" s="11" t="s">
        <v>168</v>
      </c>
      <c r="K169" s="11" t="s">
        <v>456</v>
      </c>
      <c r="L169" s="11"/>
      <c r="M169" s="11" t="s">
        <v>419</v>
      </c>
      <c r="N169" s="2" t="s">
        <v>165</v>
      </c>
      <c r="O169" s="2"/>
    </row>
    <row r="170" spans="1:16" ht="15" x14ac:dyDescent="0.2">
      <c r="A170" s="2" t="s">
        <v>2002</v>
      </c>
      <c r="B170" s="2" t="s">
        <v>2003</v>
      </c>
      <c r="C170" s="2" t="str">
        <f t="shared" si="0"/>
        <v>circumfix</v>
      </c>
      <c r="D170" s="11" t="s">
        <v>2009</v>
      </c>
      <c r="E170" s="2" t="str">
        <f t="shared" si="4"/>
        <v>What is the prefix used to inflect the word \"palakasan\"?</v>
      </c>
      <c r="F170" s="2" t="str">
        <f t="shared" si="5"/>
        <v>Ano ang unlapi na ginamit sa salitang \"palakasan\"?</v>
      </c>
      <c r="G170" s="2" t="str">
        <f t="shared" si="6"/>
        <v>pa-</v>
      </c>
      <c r="H170" s="19" t="s">
        <v>2601</v>
      </c>
      <c r="I170" s="11" t="s">
        <v>458</v>
      </c>
      <c r="J170" s="11" t="s">
        <v>459</v>
      </c>
      <c r="K170" s="11" t="s">
        <v>460</v>
      </c>
      <c r="L170" s="11"/>
      <c r="M170" s="11" t="s">
        <v>419</v>
      </c>
      <c r="N170" s="2" t="s">
        <v>165</v>
      </c>
      <c r="O170" s="2"/>
    </row>
    <row r="171" spans="1:16" ht="15" x14ac:dyDescent="0.2">
      <c r="A171" s="2" t="s">
        <v>2002</v>
      </c>
      <c r="B171" s="2" t="s">
        <v>2003</v>
      </c>
      <c r="C171" s="2" t="str">
        <f t="shared" si="0"/>
        <v>circumfix</v>
      </c>
      <c r="D171" s="11" t="s">
        <v>2009</v>
      </c>
      <c r="E171" s="2" t="str">
        <f t="shared" si="4"/>
        <v>What is the prefix used to inflect the word \"patawagan\"?</v>
      </c>
      <c r="F171" s="2" t="str">
        <f t="shared" si="5"/>
        <v>Ano ang unlapi na ginamit sa salitang \"patawagan\"?</v>
      </c>
      <c r="G171" s="2" t="str">
        <f t="shared" si="6"/>
        <v>pa-</v>
      </c>
      <c r="H171" s="19" t="s">
        <v>2602</v>
      </c>
      <c r="I171" s="11" t="s">
        <v>461</v>
      </c>
      <c r="J171" s="11" t="s">
        <v>426</v>
      </c>
      <c r="K171" s="11" t="s">
        <v>460</v>
      </c>
      <c r="L171" s="11"/>
      <c r="M171" s="11" t="s">
        <v>419</v>
      </c>
      <c r="N171" s="2" t="s">
        <v>165</v>
      </c>
      <c r="O171" s="2"/>
      <c r="P171" s="2" t="s">
        <v>58</v>
      </c>
    </row>
    <row r="172" spans="1:16" ht="15" x14ac:dyDescent="0.2">
      <c r="A172" s="2" t="s">
        <v>2002</v>
      </c>
      <c r="B172" s="2" t="s">
        <v>2003</v>
      </c>
      <c r="C172" s="2" t="str">
        <f t="shared" si="0"/>
        <v>circumfix</v>
      </c>
      <c r="D172" s="11" t="s">
        <v>2009</v>
      </c>
      <c r="E172" s="2" t="str">
        <f t="shared" ref="E172:E191" si="7">"What is the suffix used to inflect the word " &amp; "\" &amp; """" &amp; I172 &amp; "\" &amp; """" &amp; "?"</f>
        <v>What is the suffix used to inflect the word \"pinaglabanan\"?</v>
      </c>
      <c r="F172" s="2" t="str">
        <f t="shared" ref="F172:F191" si="8">"Ano ang hulapi na ginamit sa salitang " &amp; "\" &amp; """" &amp; I172 &amp; "\" &amp; """" &amp; "?"</f>
        <v>Ano ang hulapi na ginamit sa salitang \"pinaglabanan\"?</v>
      </c>
      <c r="G172" s="2" t="str">
        <f t="shared" ref="G172:G191" si="9">MID(K172, FIND("+", K172) + 1, LEN(K172))</f>
        <v>-an</v>
      </c>
      <c r="H172" s="19" t="s">
        <v>2603</v>
      </c>
      <c r="I172" s="11" t="s">
        <v>417</v>
      </c>
      <c r="J172" s="11" t="s">
        <v>105</v>
      </c>
      <c r="K172" s="11" t="s">
        <v>418</v>
      </c>
      <c r="L172" s="11"/>
      <c r="M172" s="11" t="s">
        <v>419</v>
      </c>
      <c r="N172" s="2" t="s">
        <v>165</v>
      </c>
    </row>
    <row r="173" spans="1:16" ht="15" x14ac:dyDescent="0.2">
      <c r="A173" s="2" t="s">
        <v>2002</v>
      </c>
      <c r="B173" s="2" t="s">
        <v>2003</v>
      </c>
      <c r="C173" s="2" t="str">
        <f t="shared" si="0"/>
        <v>circumfix</v>
      </c>
      <c r="D173" s="11" t="s">
        <v>2009</v>
      </c>
      <c r="E173" s="2" t="str">
        <f t="shared" si="7"/>
        <v>What is the suffix used to inflect the word \"pagsabihan\"?</v>
      </c>
      <c r="F173" s="2" t="str">
        <f t="shared" si="8"/>
        <v>Ano ang hulapi na ginamit sa salitang \"pagsabihan\"?</v>
      </c>
      <c r="G173" s="2" t="str">
        <f t="shared" si="9"/>
        <v>-han</v>
      </c>
      <c r="H173" s="19" t="s">
        <v>2604</v>
      </c>
      <c r="I173" s="11" t="s">
        <v>420</v>
      </c>
      <c r="J173" s="11" t="s">
        <v>313</v>
      </c>
      <c r="K173" s="11" t="s">
        <v>421</v>
      </c>
      <c r="L173" s="11"/>
      <c r="M173" s="11" t="s">
        <v>419</v>
      </c>
      <c r="N173" s="2" t="s">
        <v>165</v>
      </c>
    </row>
    <row r="174" spans="1:16" ht="15" x14ac:dyDescent="0.2">
      <c r="A174" s="2" t="s">
        <v>2002</v>
      </c>
      <c r="B174" s="2" t="s">
        <v>2003</v>
      </c>
      <c r="C174" s="2" t="str">
        <f t="shared" si="0"/>
        <v>circumfix</v>
      </c>
      <c r="D174" s="11" t="s">
        <v>2008</v>
      </c>
      <c r="E174" s="2" t="str">
        <f t="shared" si="7"/>
        <v>What is the suffix used to inflect the word \"pagtulungan\"?</v>
      </c>
      <c r="F174" s="2" t="str">
        <f t="shared" si="8"/>
        <v>Ano ang hulapi na ginamit sa salitang \"pagtulungan\"?</v>
      </c>
      <c r="G174" s="2" t="str">
        <f t="shared" si="9"/>
        <v>-an</v>
      </c>
      <c r="H174" s="19" t="s">
        <v>2605</v>
      </c>
      <c r="I174" s="11" t="s">
        <v>422</v>
      </c>
      <c r="J174" s="11" t="s">
        <v>423</v>
      </c>
      <c r="K174" s="11" t="s">
        <v>424</v>
      </c>
      <c r="L174" s="11"/>
      <c r="M174" s="11" t="s">
        <v>419</v>
      </c>
      <c r="N174" s="2" t="s">
        <v>224</v>
      </c>
    </row>
    <row r="175" spans="1:16" ht="15" x14ac:dyDescent="0.2">
      <c r="A175" s="2" t="s">
        <v>2002</v>
      </c>
      <c r="B175" s="2" t="s">
        <v>2003</v>
      </c>
      <c r="C175" s="2" t="str">
        <f t="shared" si="0"/>
        <v>circumfix</v>
      </c>
      <c r="D175" s="11" t="s">
        <v>2009</v>
      </c>
      <c r="E175" s="2" t="str">
        <f t="shared" si="7"/>
        <v>What is the suffix used to inflect the word \"magtawagan\"?</v>
      </c>
      <c r="F175" s="2" t="str">
        <f t="shared" si="8"/>
        <v>Ano ang hulapi na ginamit sa salitang \"magtawagan\"?</v>
      </c>
      <c r="G175" s="2" t="str">
        <f t="shared" si="9"/>
        <v>-an</v>
      </c>
      <c r="H175" s="19" t="s">
        <v>2606</v>
      </c>
      <c r="I175" s="11" t="s">
        <v>425</v>
      </c>
      <c r="J175" s="11" t="s">
        <v>426</v>
      </c>
      <c r="K175" s="11" t="s">
        <v>427</v>
      </c>
      <c r="L175" s="11"/>
      <c r="M175" s="11" t="s">
        <v>419</v>
      </c>
      <c r="N175" s="2" t="s">
        <v>165</v>
      </c>
    </row>
    <row r="176" spans="1:16" ht="15" x14ac:dyDescent="0.2">
      <c r="A176" s="2" t="s">
        <v>2002</v>
      </c>
      <c r="B176" s="2" t="s">
        <v>2003</v>
      </c>
      <c r="C176" s="2" t="str">
        <f t="shared" si="0"/>
        <v>circumfix</v>
      </c>
      <c r="D176" s="11" t="s">
        <v>2008</v>
      </c>
      <c r="E176" s="2" t="str">
        <f t="shared" si="7"/>
        <v>What is the suffix used to inflect the word \"magtulungan\"?</v>
      </c>
      <c r="F176" s="2" t="str">
        <f t="shared" si="8"/>
        <v>Ano ang hulapi na ginamit sa salitang \"magtulungan\"?</v>
      </c>
      <c r="G176" s="2" t="str">
        <f t="shared" si="9"/>
        <v>-an</v>
      </c>
      <c r="H176" s="19" t="s">
        <v>2607</v>
      </c>
      <c r="I176" s="11" t="s">
        <v>428</v>
      </c>
      <c r="J176" s="11" t="s">
        <v>423</v>
      </c>
      <c r="K176" s="11" t="s">
        <v>427</v>
      </c>
      <c r="L176" s="11"/>
      <c r="M176" s="11" t="s">
        <v>419</v>
      </c>
      <c r="N176" s="2" t="s">
        <v>224</v>
      </c>
    </row>
    <row r="177" spans="1:15" ht="15" x14ac:dyDescent="0.2">
      <c r="A177" s="2" t="s">
        <v>2002</v>
      </c>
      <c r="B177" s="2" t="s">
        <v>2003</v>
      </c>
      <c r="C177" s="2" t="str">
        <f t="shared" si="0"/>
        <v>circumfix</v>
      </c>
      <c r="D177" s="11" t="s">
        <v>2009</v>
      </c>
      <c r="E177" s="2" t="str">
        <f t="shared" si="7"/>
        <v>What is the suffix used to inflect the word \"nagkampihan\"?</v>
      </c>
      <c r="F177" s="2" t="str">
        <f t="shared" si="8"/>
        <v>Ano ang hulapi na ginamit sa salitang \"nagkampihan\"?</v>
      </c>
      <c r="G177" s="2" t="str">
        <f t="shared" si="9"/>
        <v>-han</v>
      </c>
      <c r="H177" s="19" t="s">
        <v>2608</v>
      </c>
      <c r="I177" s="11" t="s">
        <v>429</v>
      </c>
      <c r="J177" s="11" t="s">
        <v>430</v>
      </c>
      <c r="K177" s="11" t="s">
        <v>431</v>
      </c>
      <c r="L177" s="11"/>
      <c r="M177" s="11" t="s">
        <v>419</v>
      </c>
      <c r="N177" s="2" t="s">
        <v>165</v>
      </c>
    </row>
    <row r="178" spans="1:15" ht="15" x14ac:dyDescent="0.2">
      <c r="A178" s="2" t="s">
        <v>2002</v>
      </c>
      <c r="B178" s="2" t="s">
        <v>2003</v>
      </c>
      <c r="C178" s="2" t="str">
        <f t="shared" si="0"/>
        <v>circumfix</v>
      </c>
      <c r="D178" s="11" t="s">
        <v>2009</v>
      </c>
      <c r="E178" s="2" t="str">
        <f t="shared" si="7"/>
        <v>What is the suffix used to inflect the word \"nagsisihan\"?</v>
      </c>
      <c r="F178" s="2" t="str">
        <f t="shared" si="8"/>
        <v>Ano ang hulapi na ginamit sa salitang \"nagsisihan\"?</v>
      </c>
      <c r="G178" s="2" t="str">
        <f t="shared" si="9"/>
        <v>-han</v>
      </c>
      <c r="H178" s="19" t="s">
        <v>2609</v>
      </c>
      <c r="I178" s="11" t="s">
        <v>432</v>
      </c>
      <c r="J178" s="11" t="s">
        <v>311</v>
      </c>
      <c r="K178" s="11" t="s">
        <v>431</v>
      </c>
      <c r="L178" s="11"/>
      <c r="M178" s="11" t="s">
        <v>419</v>
      </c>
      <c r="N178" s="2" t="s">
        <v>165</v>
      </c>
    </row>
    <row r="179" spans="1:15" ht="15" x14ac:dyDescent="0.2">
      <c r="A179" s="2" t="s">
        <v>2002</v>
      </c>
      <c r="B179" s="2" t="s">
        <v>2003</v>
      </c>
      <c r="C179" s="2" t="str">
        <f t="shared" si="0"/>
        <v>circumfix</v>
      </c>
      <c r="D179" s="11" t="s">
        <v>2009</v>
      </c>
      <c r="E179" s="2" t="str">
        <f t="shared" si="7"/>
        <v>What is the suffix used to inflect the word \"nakipaglandian\"?</v>
      </c>
      <c r="F179" s="2" t="str">
        <f t="shared" si="8"/>
        <v>Ano ang hulapi na ginamit sa salitang \"nakipaglandian\"?</v>
      </c>
      <c r="G179" s="2" t="str">
        <f t="shared" si="9"/>
        <v>-an</v>
      </c>
      <c r="H179" s="19" t="s">
        <v>2610</v>
      </c>
      <c r="I179" s="11" t="s">
        <v>433</v>
      </c>
      <c r="J179" s="11" t="s">
        <v>434</v>
      </c>
      <c r="K179" s="11" t="s">
        <v>435</v>
      </c>
      <c r="L179" s="11"/>
      <c r="M179" s="11" t="s">
        <v>419</v>
      </c>
      <c r="N179" s="2" t="s">
        <v>165</v>
      </c>
    </row>
    <row r="180" spans="1:15" ht="15" x14ac:dyDescent="0.2">
      <c r="A180" s="2" t="s">
        <v>2002</v>
      </c>
      <c r="B180" s="2" t="s">
        <v>2003</v>
      </c>
      <c r="C180" s="2" t="str">
        <f t="shared" si="0"/>
        <v>circumfix</v>
      </c>
      <c r="D180" s="11" t="s">
        <v>2008</v>
      </c>
      <c r="E180" s="2" t="str">
        <f t="shared" si="7"/>
        <v>What is the suffix used to inflect the word \"nakipagsagutan\"?</v>
      </c>
      <c r="F180" s="2" t="str">
        <f t="shared" si="8"/>
        <v>Ano ang hulapi na ginamit sa salitang \"nakipagsagutan\"?</v>
      </c>
      <c r="G180" s="2" t="str">
        <f t="shared" si="9"/>
        <v>-an</v>
      </c>
      <c r="H180" s="19" t="s">
        <v>2611</v>
      </c>
      <c r="I180" s="11" t="s">
        <v>436</v>
      </c>
      <c r="J180" s="11" t="s">
        <v>195</v>
      </c>
      <c r="K180" s="11" t="s">
        <v>435</v>
      </c>
      <c r="L180" s="11"/>
      <c r="M180" s="11" t="s">
        <v>419</v>
      </c>
      <c r="N180" s="2" t="s">
        <v>224</v>
      </c>
    </row>
    <row r="181" spans="1:15" ht="15" x14ac:dyDescent="0.2">
      <c r="A181" s="2" t="s">
        <v>2002</v>
      </c>
      <c r="B181" s="2" t="s">
        <v>2003</v>
      </c>
      <c r="C181" s="2" t="str">
        <f t="shared" si="0"/>
        <v>circumfix</v>
      </c>
      <c r="D181" s="11" t="s">
        <v>2009</v>
      </c>
      <c r="E181" s="2" t="str">
        <f t="shared" si="7"/>
        <v>What is the suffix used to inflect the word \"makipag-unahan\"?</v>
      </c>
      <c r="F181" s="2" t="str">
        <f t="shared" si="8"/>
        <v>Ano ang hulapi na ginamit sa salitang \"makipag-unahan\"?</v>
      </c>
      <c r="G181" s="2" t="str">
        <f t="shared" si="9"/>
        <v>-han</v>
      </c>
      <c r="H181" s="19" t="s">
        <v>2612</v>
      </c>
      <c r="I181" s="11" t="s">
        <v>437</v>
      </c>
      <c r="J181" s="11" t="s">
        <v>319</v>
      </c>
      <c r="K181" s="11" t="s">
        <v>438</v>
      </c>
      <c r="L181" s="11" t="s">
        <v>439</v>
      </c>
      <c r="M181" s="11" t="s">
        <v>419</v>
      </c>
      <c r="N181" s="2" t="s">
        <v>165</v>
      </c>
    </row>
    <row r="182" spans="1:15" ht="15" x14ac:dyDescent="0.2">
      <c r="A182" s="2" t="s">
        <v>2002</v>
      </c>
      <c r="B182" s="2" t="s">
        <v>2003</v>
      </c>
      <c r="C182" s="2" t="str">
        <f t="shared" si="0"/>
        <v>circumfix</v>
      </c>
      <c r="D182" s="11" t="s">
        <v>2009</v>
      </c>
      <c r="E182" s="2" t="str">
        <f t="shared" si="7"/>
        <v>What is the suffix used to inflect the word \"makipagpalitan\"?</v>
      </c>
      <c r="F182" s="2" t="str">
        <f t="shared" si="8"/>
        <v>Ano ang hulapi na ginamit sa salitang \"makipagpalitan\"?</v>
      </c>
      <c r="G182" s="2" t="str">
        <f t="shared" si="9"/>
        <v>-an</v>
      </c>
      <c r="H182" s="19" t="s">
        <v>2613</v>
      </c>
      <c r="I182" s="11" t="s">
        <v>440</v>
      </c>
      <c r="J182" s="11" t="s">
        <v>441</v>
      </c>
      <c r="K182" s="11" t="s">
        <v>439</v>
      </c>
      <c r="L182" s="11"/>
      <c r="M182" s="11" t="s">
        <v>419</v>
      </c>
      <c r="N182" s="2" t="s">
        <v>165</v>
      </c>
    </row>
    <row r="183" spans="1:15" ht="15" x14ac:dyDescent="0.2">
      <c r="A183" s="2" t="s">
        <v>2002</v>
      </c>
      <c r="B183" s="2" t="s">
        <v>2003</v>
      </c>
      <c r="C183" s="2" t="str">
        <f t="shared" si="0"/>
        <v>circumfix</v>
      </c>
      <c r="D183" s="11" t="s">
        <v>2009</v>
      </c>
      <c r="E183" s="2" t="str">
        <f t="shared" si="7"/>
        <v>What is the suffix used to inflect the word \"makipagsapakan\"?</v>
      </c>
      <c r="F183" s="2" t="str">
        <f t="shared" si="8"/>
        <v>Ano ang hulapi na ginamit sa salitang \"makipagsapakan\"?</v>
      </c>
      <c r="G183" s="2" t="str">
        <f t="shared" si="9"/>
        <v>-an</v>
      </c>
      <c r="H183" s="19" t="s">
        <v>2614</v>
      </c>
      <c r="I183" s="11" t="s">
        <v>442</v>
      </c>
      <c r="J183" s="11" t="s">
        <v>443</v>
      </c>
      <c r="K183" s="11" t="s">
        <v>439</v>
      </c>
      <c r="L183" s="11"/>
      <c r="M183" s="11" t="s">
        <v>419</v>
      </c>
      <c r="N183" s="2" t="s">
        <v>165</v>
      </c>
    </row>
    <row r="184" spans="1:15" ht="15" x14ac:dyDescent="0.2">
      <c r="A184" s="2" t="s">
        <v>2002</v>
      </c>
      <c r="B184" s="2" t="s">
        <v>2003</v>
      </c>
      <c r="C184" s="2" t="str">
        <f t="shared" si="0"/>
        <v>circumfix</v>
      </c>
      <c r="D184" s="11" t="s">
        <v>2010</v>
      </c>
      <c r="E184" s="2" t="str">
        <f t="shared" si="7"/>
        <v>What is the suffix used to inflect the word \"malaman\"?</v>
      </c>
      <c r="F184" s="2" t="str">
        <f t="shared" si="8"/>
        <v>Ano ang hulapi na ginamit sa salitang \"malaman\"?</v>
      </c>
      <c r="G184" s="2" t="str">
        <f t="shared" si="9"/>
        <v>-an</v>
      </c>
      <c r="H184" s="19" t="s">
        <v>2615</v>
      </c>
      <c r="I184" s="11" t="s">
        <v>444</v>
      </c>
      <c r="J184" s="11" t="s">
        <v>445</v>
      </c>
      <c r="K184" s="11" t="s">
        <v>446</v>
      </c>
      <c r="L184" s="11"/>
      <c r="M184" s="11" t="s">
        <v>419</v>
      </c>
      <c r="N184" s="2" t="s">
        <v>447</v>
      </c>
    </row>
    <row r="185" spans="1:15" ht="15" x14ac:dyDescent="0.2">
      <c r="A185" s="2" t="s">
        <v>2002</v>
      </c>
      <c r="B185" s="2" t="s">
        <v>2003</v>
      </c>
      <c r="C185" s="2" t="str">
        <f t="shared" si="0"/>
        <v>circumfix</v>
      </c>
      <c r="D185" s="11" t="s">
        <v>2008</v>
      </c>
      <c r="E185" s="2" t="str">
        <f t="shared" si="7"/>
        <v>What is the suffix used to inflect the word \"matutuhan\"?</v>
      </c>
      <c r="F185" s="2" t="str">
        <f t="shared" si="8"/>
        <v>Ano ang hulapi na ginamit sa salitang \"matutuhan\"?</v>
      </c>
      <c r="G185" s="2" t="str">
        <f t="shared" si="9"/>
        <v>-han</v>
      </c>
      <c r="H185" s="19" t="s">
        <v>2616</v>
      </c>
      <c r="I185" s="11" t="s">
        <v>448</v>
      </c>
      <c r="J185" s="11" t="s">
        <v>449</v>
      </c>
      <c r="K185" s="11" t="s">
        <v>450</v>
      </c>
      <c r="L185" s="11" t="s">
        <v>446</v>
      </c>
      <c r="M185" s="11" t="s">
        <v>419</v>
      </c>
      <c r="N185" s="2" t="s">
        <v>224</v>
      </c>
    </row>
    <row r="186" spans="1:15" ht="15" x14ac:dyDescent="0.2">
      <c r="A186" s="2" t="s">
        <v>2002</v>
      </c>
      <c r="B186" s="2" t="s">
        <v>2003</v>
      </c>
      <c r="C186" s="2" t="str">
        <f t="shared" si="0"/>
        <v>circumfix</v>
      </c>
      <c r="D186" s="11" t="s">
        <v>2008</v>
      </c>
      <c r="E186" s="2" t="str">
        <f t="shared" si="7"/>
        <v>What is the suffix used to inflect the word \"patulugin\"?</v>
      </c>
      <c r="F186" s="2" t="str">
        <f t="shared" si="8"/>
        <v>Ano ang hulapi na ginamit sa salitang \"patulugin\"?</v>
      </c>
      <c r="G186" s="2" t="str">
        <f t="shared" si="9"/>
        <v>-in</v>
      </c>
      <c r="H186" s="19" t="s">
        <v>2617</v>
      </c>
      <c r="I186" s="11" t="s">
        <v>451</v>
      </c>
      <c r="J186" s="11" t="s">
        <v>452</v>
      </c>
      <c r="K186" s="11" t="s">
        <v>453</v>
      </c>
      <c r="L186" s="11"/>
      <c r="M186" s="11" t="s">
        <v>419</v>
      </c>
      <c r="N186" s="2" t="s">
        <v>224</v>
      </c>
    </row>
    <row r="187" spans="1:15" ht="15" x14ac:dyDescent="0.2">
      <c r="A187" s="2" t="s">
        <v>2002</v>
      </c>
      <c r="B187" s="2" t="s">
        <v>2003</v>
      </c>
      <c r="C187" s="2" t="str">
        <f t="shared" si="0"/>
        <v>circumfix</v>
      </c>
      <c r="D187" s="11" t="s">
        <v>2008</v>
      </c>
      <c r="E187" s="2" t="str">
        <f t="shared" si="7"/>
        <v>What is the suffix used to inflect the word \"papasukin\"?</v>
      </c>
      <c r="F187" s="2" t="str">
        <f t="shared" si="8"/>
        <v>Ano ang hulapi na ginamit sa salitang \"papasukin\"?</v>
      </c>
      <c r="G187" s="2" t="str">
        <f t="shared" si="9"/>
        <v>-in</v>
      </c>
      <c r="H187" s="19" t="s">
        <v>2618</v>
      </c>
      <c r="I187" s="11" t="s">
        <v>454</v>
      </c>
      <c r="J187" s="11" t="s">
        <v>395</v>
      </c>
      <c r="K187" s="11" t="s">
        <v>453</v>
      </c>
      <c r="L187" s="11"/>
      <c r="M187" s="11" t="s">
        <v>419</v>
      </c>
      <c r="N187" s="2" t="s">
        <v>224</v>
      </c>
    </row>
    <row r="188" spans="1:15" ht="15" x14ac:dyDescent="0.2">
      <c r="A188" s="2" t="s">
        <v>2002</v>
      </c>
      <c r="B188" s="2" t="s">
        <v>2003</v>
      </c>
      <c r="C188" s="2" t="str">
        <f t="shared" si="0"/>
        <v>circumfix</v>
      </c>
      <c r="D188" s="11" t="s">
        <v>2009</v>
      </c>
      <c r="E188" s="2" t="str">
        <f t="shared" si="7"/>
        <v>What is the suffix used to inflect the word \"paglinisin\"?</v>
      </c>
      <c r="F188" s="2" t="str">
        <f t="shared" si="8"/>
        <v>Ano ang hulapi na ginamit sa salitang \"paglinisin\"?</v>
      </c>
      <c r="G188" s="2" t="str">
        <f t="shared" si="9"/>
        <v>-in</v>
      </c>
      <c r="H188" s="19" t="s">
        <v>2619</v>
      </c>
      <c r="I188" s="11" t="s">
        <v>455</v>
      </c>
      <c r="J188" s="11" t="s">
        <v>210</v>
      </c>
      <c r="K188" s="11" t="s">
        <v>456</v>
      </c>
      <c r="L188" s="11"/>
      <c r="M188" s="11" t="s">
        <v>419</v>
      </c>
      <c r="N188" s="2" t="s">
        <v>165</v>
      </c>
    </row>
    <row r="189" spans="1:15" ht="15" x14ac:dyDescent="0.2">
      <c r="A189" s="2" t="s">
        <v>2002</v>
      </c>
      <c r="B189" s="2" t="s">
        <v>2003</v>
      </c>
      <c r="C189" s="2" t="str">
        <f t="shared" si="0"/>
        <v>circumfix</v>
      </c>
      <c r="D189" s="11" t="s">
        <v>2009</v>
      </c>
      <c r="E189" s="2" t="str">
        <f t="shared" si="7"/>
        <v>What is the suffix used to inflect the word \"pag-aralin\"?</v>
      </c>
      <c r="F189" s="2" t="str">
        <f t="shared" si="8"/>
        <v>Ano ang hulapi na ginamit sa salitang \"pag-aralin\"?</v>
      </c>
      <c r="G189" s="2" t="str">
        <f t="shared" si="9"/>
        <v>-in</v>
      </c>
      <c r="H189" s="19" t="s">
        <v>2620</v>
      </c>
      <c r="I189" s="11" t="s">
        <v>457</v>
      </c>
      <c r="J189" s="11" t="s">
        <v>168</v>
      </c>
      <c r="K189" s="11" t="s">
        <v>456</v>
      </c>
      <c r="L189" s="11"/>
      <c r="M189" s="11" t="s">
        <v>419</v>
      </c>
      <c r="N189" s="2" t="s">
        <v>165</v>
      </c>
    </row>
    <row r="190" spans="1:15" ht="15" x14ac:dyDescent="0.2">
      <c r="A190" s="2" t="s">
        <v>2002</v>
      </c>
      <c r="B190" s="2" t="s">
        <v>2003</v>
      </c>
      <c r="C190" s="2" t="str">
        <f t="shared" si="0"/>
        <v>circumfix</v>
      </c>
      <c r="D190" s="11" t="s">
        <v>2009</v>
      </c>
      <c r="E190" s="2" t="str">
        <f t="shared" si="7"/>
        <v>What is the suffix used to inflect the word \"palakasan\"?</v>
      </c>
      <c r="F190" s="2" t="str">
        <f t="shared" si="8"/>
        <v>Ano ang hulapi na ginamit sa salitang \"palakasan\"?</v>
      </c>
      <c r="G190" s="2" t="str">
        <f t="shared" si="9"/>
        <v>-an</v>
      </c>
      <c r="H190" s="19" t="s">
        <v>2621</v>
      </c>
      <c r="I190" s="11" t="s">
        <v>458</v>
      </c>
      <c r="J190" s="11" t="s">
        <v>459</v>
      </c>
      <c r="K190" s="11" t="s">
        <v>460</v>
      </c>
      <c r="L190" s="11"/>
      <c r="M190" s="11" t="s">
        <v>419</v>
      </c>
      <c r="N190" s="2" t="s">
        <v>165</v>
      </c>
    </row>
    <row r="191" spans="1:15" ht="15" x14ac:dyDescent="0.2">
      <c r="A191" s="2" t="s">
        <v>2002</v>
      </c>
      <c r="B191" s="2" t="s">
        <v>2003</v>
      </c>
      <c r="C191" s="2" t="str">
        <f t="shared" si="0"/>
        <v>circumfix</v>
      </c>
      <c r="D191" s="11" t="s">
        <v>2009</v>
      </c>
      <c r="E191" s="2" t="str">
        <f t="shared" si="7"/>
        <v>What is the suffix used to inflect the word \"patawagan\"?</v>
      </c>
      <c r="F191" s="2" t="str">
        <f t="shared" si="8"/>
        <v>Ano ang hulapi na ginamit sa salitang \"patawagan\"?</v>
      </c>
      <c r="G191" s="2" t="str">
        <f t="shared" si="9"/>
        <v>-an</v>
      </c>
      <c r="H191" s="19" t="s">
        <v>2622</v>
      </c>
      <c r="I191" s="11" t="s">
        <v>461</v>
      </c>
      <c r="J191" s="11" t="s">
        <v>426</v>
      </c>
      <c r="K191" s="11" t="s">
        <v>460</v>
      </c>
      <c r="L191" s="11"/>
      <c r="M191" s="11" t="s">
        <v>419</v>
      </c>
      <c r="N191" s="2" t="s">
        <v>165</v>
      </c>
    </row>
    <row r="192" spans="1:15" ht="15" x14ac:dyDescent="0.2">
      <c r="A192" s="2" t="s">
        <v>2002</v>
      </c>
      <c r="B192" s="2" t="s">
        <v>2003</v>
      </c>
      <c r="C192" s="2" t="s">
        <v>2012</v>
      </c>
      <c r="D192" s="11" t="s">
        <v>2009</v>
      </c>
      <c r="E192" s="2" t="str">
        <f t="shared" ref="E192:E201" si="10">"What is the infix used to inflect the word " &amp; "\" &amp; """" &amp; I192 &amp; "\" &amp; """" &amp; "?"</f>
        <v>What is the infix used to inflect the word \"sinulatan\"?</v>
      </c>
      <c r="F192" s="2" t="str">
        <f t="shared" ref="F192:F201" si="11">"Ano ang gitlapi na ginamit sa salitang " &amp; "\" &amp; """" &amp; I192 &amp; "\" &amp; """" &amp; "?"</f>
        <v>Ano ang gitlapi na ginamit sa salitang \"sinulatan\"?</v>
      </c>
      <c r="G192" s="2" t="str">
        <f t="shared" ref="G192:G211" si="12">LEFT(K192, FIND("+", K192) - 1)</f>
        <v>-in-</v>
      </c>
      <c r="H192" s="19" t="s">
        <v>2623</v>
      </c>
      <c r="I192" s="2" t="s">
        <v>462</v>
      </c>
      <c r="J192" s="2" t="s">
        <v>285</v>
      </c>
      <c r="K192" s="2" t="s">
        <v>463</v>
      </c>
      <c r="L192" s="2"/>
      <c r="M192" s="2" t="s">
        <v>464</v>
      </c>
      <c r="N192" s="2" t="s">
        <v>165</v>
      </c>
      <c r="O192" s="2"/>
    </row>
    <row r="193" spans="1:15" ht="15" x14ac:dyDescent="0.2">
      <c r="A193" s="2" t="s">
        <v>2002</v>
      </c>
      <c r="B193" s="2" t="s">
        <v>2003</v>
      </c>
      <c r="C193" s="2" t="s">
        <v>2012</v>
      </c>
      <c r="D193" s="11" t="s">
        <v>2009</v>
      </c>
      <c r="E193" s="2" t="str">
        <f t="shared" si="10"/>
        <v>What is the infix used to inflect the word \"dinampian\"?</v>
      </c>
      <c r="F193" s="2" t="str">
        <f t="shared" si="11"/>
        <v>Ano ang gitlapi na ginamit sa salitang \"dinampian\"?</v>
      </c>
      <c r="G193" s="2" t="str">
        <f t="shared" si="12"/>
        <v>-in-</v>
      </c>
      <c r="H193" s="19" t="s">
        <v>2624</v>
      </c>
      <c r="I193" s="2" t="s">
        <v>465</v>
      </c>
      <c r="J193" s="2" t="s">
        <v>466</v>
      </c>
      <c r="K193" s="2" t="s">
        <v>463</v>
      </c>
      <c r="L193" s="2"/>
      <c r="M193" s="2" t="s">
        <v>464</v>
      </c>
      <c r="N193" s="2" t="s">
        <v>165</v>
      </c>
      <c r="O193" s="2"/>
    </row>
    <row r="194" spans="1:15" ht="15" x14ac:dyDescent="0.2">
      <c r="A194" s="2" t="s">
        <v>2002</v>
      </c>
      <c r="B194" s="2" t="s">
        <v>2003</v>
      </c>
      <c r="C194" s="2" t="s">
        <v>2012</v>
      </c>
      <c r="D194" s="11" t="s">
        <v>2008</v>
      </c>
      <c r="E194" s="2" t="str">
        <f t="shared" si="10"/>
        <v>What is the infix used to inflect the word \"pinayungan\"?</v>
      </c>
      <c r="F194" s="2" t="str">
        <f t="shared" si="11"/>
        <v>Ano ang gitlapi na ginamit sa salitang \"pinayungan\"?</v>
      </c>
      <c r="G194" s="2" t="str">
        <f t="shared" si="12"/>
        <v>-in-</v>
      </c>
      <c r="H194" s="19" t="s">
        <v>2625</v>
      </c>
      <c r="I194" s="2" t="s">
        <v>467</v>
      </c>
      <c r="J194" s="2" t="s">
        <v>468</v>
      </c>
      <c r="K194" s="2" t="s">
        <v>463</v>
      </c>
      <c r="L194" s="2"/>
      <c r="M194" s="2" t="s">
        <v>464</v>
      </c>
      <c r="N194" s="2" t="s">
        <v>224</v>
      </c>
    </row>
    <row r="195" spans="1:15" ht="13" x14ac:dyDescent="0.15">
      <c r="A195" s="2" t="s">
        <v>2002</v>
      </c>
      <c r="B195" s="2" t="s">
        <v>2003</v>
      </c>
      <c r="C195" s="2" t="s">
        <v>2012</v>
      </c>
      <c r="D195" s="2" t="s">
        <v>2011</v>
      </c>
      <c r="E195" s="2" t="str">
        <f t="shared" si="10"/>
        <v>What is the infix used to inflect the word \"niyurakan\"?</v>
      </c>
      <c r="F195" s="2" t="str">
        <f t="shared" si="11"/>
        <v>Ano ang gitlapi na ginamit sa salitang \"niyurakan\"?</v>
      </c>
      <c r="G195" s="2" t="str">
        <f t="shared" si="12"/>
        <v>-in-</v>
      </c>
      <c r="H195" s="19" t="s">
        <v>2626</v>
      </c>
      <c r="I195" s="2" t="s">
        <v>469</v>
      </c>
      <c r="J195" s="2" t="s">
        <v>470</v>
      </c>
      <c r="K195" s="2" t="s">
        <v>463</v>
      </c>
      <c r="L195" s="2"/>
      <c r="M195" s="2" t="s">
        <v>464</v>
      </c>
      <c r="N195" s="2" t="s">
        <v>322</v>
      </c>
    </row>
    <row r="196" spans="1:15" ht="13" x14ac:dyDescent="0.15">
      <c r="A196" s="2" t="s">
        <v>2002</v>
      </c>
      <c r="B196" s="2" t="s">
        <v>2003</v>
      </c>
      <c r="C196" s="2" t="s">
        <v>2012</v>
      </c>
      <c r="D196" s="2" t="s">
        <v>2011</v>
      </c>
      <c r="E196" s="2" t="str">
        <f t="shared" si="10"/>
        <v>What is the infix used to inflect the word \"nilapitan\"?</v>
      </c>
      <c r="F196" s="2" t="str">
        <f t="shared" si="11"/>
        <v>Ano ang gitlapi na ginamit sa salitang \"nilapitan\"?</v>
      </c>
      <c r="G196" s="2" t="str">
        <f t="shared" si="12"/>
        <v>-in-</v>
      </c>
      <c r="H196" s="19" t="s">
        <v>2627</v>
      </c>
      <c r="I196" s="2" t="s">
        <v>471</v>
      </c>
      <c r="J196" s="2" t="s">
        <v>472</v>
      </c>
      <c r="K196" s="2" t="s">
        <v>463</v>
      </c>
      <c r="L196" s="2"/>
      <c r="M196" s="2" t="s">
        <v>464</v>
      </c>
      <c r="N196" s="2" t="s">
        <v>322</v>
      </c>
    </row>
    <row r="197" spans="1:15" ht="15" x14ac:dyDescent="0.2">
      <c r="A197" s="2" t="s">
        <v>2002</v>
      </c>
      <c r="B197" s="2" t="s">
        <v>2003</v>
      </c>
      <c r="C197" s="2" t="s">
        <v>2012</v>
      </c>
      <c r="D197" s="11" t="s">
        <v>2009</v>
      </c>
      <c r="E197" s="2" t="str">
        <f t="shared" si="10"/>
        <v>What is the infix used to inflect the word \"hinawahan\"?</v>
      </c>
      <c r="F197" s="2" t="str">
        <f t="shared" si="11"/>
        <v>Ano ang gitlapi na ginamit sa salitang \"hinawahan\"?</v>
      </c>
      <c r="G197" s="2" t="str">
        <f t="shared" si="12"/>
        <v>-in-</v>
      </c>
      <c r="H197" s="19" t="s">
        <v>2628</v>
      </c>
      <c r="I197" s="2" t="s">
        <v>473</v>
      </c>
      <c r="J197" s="2" t="s">
        <v>474</v>
      </c>
      <c r="K197" s="2" t="s">
        <v>475</v>
      </c>
      <c r="L197" s="2" t="s">
        <v>463</v>
      </c>
      <c r="M197" s="2" t="s">
        <v>464</v>
      </c>
      <c r="N197" s="2" t="s">
        <v>165</v>
      </c>
      <c r="O197" s="2"/>
    </row>
    <row r="198" spans="1:15" ht="15" x14ac:dyDescent="0.2">
      <c r="A198" s="2" t="s">
        <v>2002</v>
      </c>
      <c r="B198" s="2" t="s">
        <v>2003</v>
      </c>
      <c r="C198" s="2" t="s">
        <v>2012</v>
      </c>
      <c r="D198" s="11" t="s">
        <v>2009</v>
      </c>
      <c r="E198" s="2" t="str">
        <f t="shared" si="10"/>
        <v>What is the infix used to inflect the word \"pinuntahan\"?</v>
      </c>
      <c r="F198" s="2" t="str">
        <f t="shared" si="11"/>
        <v>Ano ang gitlapi na ginamit sa salitang \"pinuntahan\"?</v>
      </c>
      <c r="G198" s="2" t="str">
        <f t="shared" si="12"/>
        <v>-in-</v>
      </c>
      <c r="H198" s="19" t="s">
        <v>2629</v>
      </c>
      <c r="I198" s="2" t="s">
        <v>476</v>
      </c>
      <c r="J198" s="2" t="s">
        <v>477</v>
      </c>
      <c r="K198" s="2" t="s">
        <v>475</v>
      </c>
      <c r="L198" s="2" t="s">
        <v>463</v>
      </c>
      <c r="M198" s="2" t="s">
        <v>464</v>
      </c>
      <c r="N198" s="2" t="s">
        <v>165</v>
      </c>
      <c r="O198" s="2"/>
    </row>
    <row r="199" spans="1:15" ht="13" x14ac:dyDescent="0.15">
      <c r="A199" s="2" t="s">
        <v>2002</v>
      </c>
      <c r="B199" s="2" t="s">
        <v>2003</v>
      </c>
      <c r="C199" s="2" t="s">
        <v>2012</v>
      </c>
      <c r="D199" s="2" t="s">
        <v>2011</v>
      </c>
      <c r="E199" s="2" t="str">
        <f t="shared" si="10"/>
        <v>What is the infix used to inflect the word \"nilabahan\"?</v>
      </c>
      <c r="F199" s="2" t="str">
        <f t="shared" si="11"/>
        <v>Ano ang gitlapi na ginamit sa salitang \"nilabahan\"?</v>
      </c>
      <c r="G199" s="2" t="str">
        <f t="shared" si="12"/>
        <v>-in-</v>
      </c>
      <c r="H199" s="19" t="s">
        <v>2630</v>
      </c>
      <c r="I199" s="2" t="s">
        <v>478</v>
      </c>
      <c r="J199" s="2" t="s">
        <v>479</v>
      </c>
      <c r="K199" s="2" t="s">
        <v>475</v>
      </c>
      <c r="L199" s="2" t="s">
        <v>463</v>
      </c>
      <c r="M199" s="2" t="s">
        <v>464</v>
      </c>
      <c r="N199" s="2" t="s">
        <v>322</v>
      </c>
    </row>
    <row r="200" spans="1:15" ht="15" x14ac:dyDescent="0.2">
      <c r="A200" s="2" t="s">
        <v>2002</v>
      </c>
      <c r="B200" s="2" t="s">
        <v>2003</v>
      </c>
      <c r="C200" s="2" t="s">
        <v>2012</v>
      </c>
      <c r="D200" s="11" t="s">
        <v>2008</v>
      </c>
      <c r="E200" s="2" t="str">
        <f t="shared" si="10"/>
        <v>What is the infix used to inflect the word \"inayusan\"?</v>
      </c>
      <c r="F200" s="2" t="str">
        <f t="shared" si="11"/>
        <v>Ano ang gitlapi na ginamit sa salitang \"inayusan\"?</v>
      </c>
      <c r="G200" s="2" t="str">
        <f t="shared" si="12"/>
        <v>-in-</v>
      </c>
      <c r="H200" s="19" t="s">
        <v>2631</v>
      </c>
      <c r="I200" s="2" t="s">
        <v>480</v>
      </c>
      <c r="J200" s="2" t="s">
        <v>176</v>
      </c>
      <c r="K200" s="2" t="s">
        <v>475</v>
      </c>
      <c r="L200" s="2" t="s">
        <v>463</v>
      </c>
      <c r="M200" s="2" t="s">
        <v>464</v>
      </c>
      <c r="N200" s="2" t="s">
        <v>224</v>
      </c>
    </row>
    <row r="201" spans="1:15" ht="13" x14ac:dyDescent="0.15">
      <c r="A201" s="2" t="s">
        <v>2002</v>
      </c>
      <c r="B201" s="2" t="s">
        <v>2003</v>
      </c>
      <c r="C201" s="2" t="s">
        <v>2012</v>
      </c>
      <c r="D201" s="2" t="s">
        <v>2013</v>
      </c>
      <c r="E201" s="2" t="str">
        <f t="shared" si="10"/>
        <v>What is the infix used to inflect the word \"niregaluhan\"?</v>
      </c>
      <c r="F201" s="2" t="str">
        <f t="shared" si="11"/>
        <v>Ano ang gitlapi na ginamit sa salitang \"niregaluhan\"?</v>
      </c>
      <c r="G201" s="2" t="str">
        <f t="shared" si="12"/>
        <v>-in-</v>
      </c>
      <c r="H201" s="19" t="s">
        <v>2632</v>
      </c>
      <c r="I201" s="2" t="s">
        <v>481</v>
      </c>
      <c r="J201" s="2" t="s">
        <v>482</v>
      </c>
      <c r="K201" s="2" t="s">
        <v>475</v>
      </c>
      <c r="L201" s="2" t="s">
        <v>463</v>
      </c>
      <c r="M201" s="2" t="s">
        <v>464</v>
      </c>
      <c r="N201" s="2" t="s">
        <v>483</v>
      </c>
    </row>
    <row r="202" spans="1:15" ht="15" x14ac:dyDescent="0.2">
      <c r="A202" s="2" t="s">
        <v>2002</v>
      </c>
      <c r="B202" s="2" t="s">
        <v>2003</v>
      </c>
      <c r="C202" s="2" t="s">
        <v>2014</v>
      </c>
      <c r="D202" s="11" t="s">
        <v>2009</v>
      </c>
      <c r="E202" s="2" t="str">
        <f t="shared" ref="E202:E211" si="13">"What is the prefix used to inflect the word " &amp; "\" &amp; """" &amp; I202 &amp; "\" &amp; """" &amp; "?"</f>
        <v>What is the prefix used to inflect the word \"magsumikap\"?</v>
      </c>
      <c r="F202" s="2" t="str">
        <f t="shared" ref="F202:F211" si="14">"Ano ang unlapi na ginamit sa salitang " &amp; "\" &amp; """" &amp; I202 &amp; "\" &amp; """" &amp; "?"</f>
        <v>Ano ang unlapi na ginamit sa salitang \"magsumikap\"?</v>
      </c>
      <c r="G202" s="2" t="str">
        <f t="shared" si="12"/>
        <v>mag-</v>
      </c>
      <c r="H202" s="19" t="s">
        <v>2633</v>
      </c>
      <c r="I202" s="11" t="s">
        <v>484</v>
      </c>
      <c r="J202" s="11" t="s">
        <v>485</v>
      </c>
      <c r="K202" s="11" t="s">
        <v>486</v>
      </c>
      <c r="L202" s="11"/>
      <c r="M202" s="11" t="s">
        <v>487</v>
      </c>
      <c r="N202" s="2" t="s">
        <v>165</v>
      </c>
      <c r="O202" s="2"/>
    </row>
    <row r="203" spans="1:15" ht="15" x14ac:dyDescent="0.2">
      <c r="A203" s="2" t="s">
        <v>2002</v>
      </c>
      <c r="B203" s="2" t="s">
        <v>2003</v>
      </c>
      <c r="C203" s="2" t="s">
        <v>2014</v>
      </c>
      <c r="D203" s="11" t="s">
        <v>2009</v>
      </c>
      <c r="E203" s="2" t="str">
        <f t="shared" si="13"/>
        <v>What is the prefix used to inflect the word \"magpumilit\"?</v>
      </c>
      <c r="F203" s="2" t="str">
        <f t="shared" si="14"/>
        <v>Ano ang unlapi na ginamit sa salitang \"magpumilit\"?</v>
      </c>
      <c r="G203" s="2" t="str">
        <f t="shared" si="12"/>
        <v>mag-</v>
      </c>
      <c r="H203" s="19" t="s">
        <v>2634</v>
      </c>
      <c r="I203" s="11" t="s">
        <v>488</v>
      </c>
      <c r="J203" s="11" t="s">
        <v>489</v>
      </c>
      <c r="K203" s="11" t="s">
        <v>486</v>
      </c>
      <c r="L203" s="11"/>
      <c r="M203" s="11" t="s">
        <v>487</v>
      </c>
      <c r="N203" s="2" t="s">
        <v>165</v>
      </c>
      <c r="O203" s="2"/>
    </row>
    <row r="204" spans="1:15" ht="15" x14ac:dyDescent="0.2">
      <c r="A204" s="2" t="s">
        <v>2002</v>
      </c>
      <c r="B204" s="2" t="s">
        <v>2003</v>
      </c>
      <c r="C204" s="2" t="s">
        <v>2014</v>
      </c>
      <c r="D204" s="11" t="s">
        <v>2009</v>
      </c>
      <c r="E204" s="2" t="str">
        <f t="shared" si="13"/>
        <v>What is the prefix used to inflect the word \"magpumiglas\"?</v>
      </c>
      <c r="F204" s="2" t="str">
        <f t="shared" si="14"/>
        <v>Ano ang unlapi na ginamit sa salitang \"magpumiglas\"?</v>
      </c>
      <c r="G204" s="2" t="str">
        <f t="shared" si="12"/>
        <v>mag-</v>
      </c>
      <c r="H204" s="19" t="s">
        <v>2635</v>
      </c>
      <c r="I204" s="11" t="s">
        <v>490</v>
      </c>
      <c r="J204" s="11" t="s">
        <v>491</v>
      </c>
      <c r="K204" s="11" t="s">
        <v>486</v>
      </c>
      <c r="L204" s="11"/>
      <c r="M204" s="11" t="s">
        <v>487</v>
      </c>
      <c r="N204" s="2" t="s">
        <v>165</v>
      </c>
      <c r="O204" s="2"/>
    </row>
    <row r="205" spans="1:15" ht="15" x14ac:dyDescent="0.2">
      <c r="A205" s="2" t="s">
        <v>2002</v>
      </c>
      <c r="B205" s="2" t="s">
        <v>2003</v>
      </c>
      <c r="C205" s="2" t="s">
        <v>2014</v>
      </c>
      <c r="D205" s="11" t="s">
        <v>2009</v>
      </c>
      <c r="E205" s="2" t="str">
        <f t="shared" si="13"/>
        <v>What is the prefix used to inflect the word \"magkumahog\"?</v>
      </c>
      <c r="F205" s="2" t="str">
        <f t="shared" si="14"/>
        <v>Ano ang unlapi na ginamit sa salitang \"magkumahog\"?</v>
      </c>
      <c r="G205" s="2" t="str">
        <f t="shared" si="12"/>
        <v>mag-</v>
      </c>
      <c r="H205" s="19" t="s">
        <v>2636</v>
      </c>
      <c r="I205" s="11" t="s">
        <v>492</v>
      </c>
      <c r="J205" s="11" t="s">
        <v>493</v>
      </c>
      <c r="K205" s="11" t="s">
        <v>486</v>
      </c>
      <c r="L205" s="11"/>
      <c r="M205" s="11" t="s">
        <v>487</v>
      </c>
      <c r="N205" s="2" t="s">
        <v>165</v>
      </c>
      <c r="O205" s="2"/>
    </row>
    <row r="206" spans="1:15" ht="15" x14ac:dyDescent="0.2">
      <c r="A206" s="2" t="s">
        <v>2002</v>
      </c>
      <c r="B206" s="2" t="s">
        <v>2003</v>
      </c>
      <c r="C206" s="2" t="s">
        <v>2014</v>
      </c>
      <c r="D206" s="11" t="s">
        <v>2009</v>
      </c>
      <c r="E206" s="2" t="str">
        <f t="shared" si="13"/>
        <v>What is the prefix used to inflect the word \"magsumamo\"?</v>
      </c>
      <c r="F206" s="2" t="str">
        <f t="shared" si="14"/>
        <v>Ano ang unlapi na ginamit sa salitang \"magsumamo\"?</v>
      </c>
      <c r="G206" s="2" t="str">
        <f t="shared" si="12"/>
        <v>mag-</v>
      </c>
      <c r="H206" s="19" t="s">
        <v>2637</v>
      </c>
      <c r="I206" s="11" t="s">
        <v>494</v>
      </c>
      <c r="J206" s="11" t="s">
        <v>495</v>
      </c>
      <c r="K206" s="11" t="s">
        <v>486</v>
      </c>
      <c r="L206" s="11"/>
      <c r="M206" s="11" t="s">
        <v>487</v>
      </c>
      <c r="N206" s="2" t="s">
        <v>165</v>
      </c>
      <c r="O206" s="2"/>
    </row>
    <row r="207" spans="1:15" ht="15" x14ac:dyDescent="0.2">
      <c r="A207" s="2" t="s">
        <v>2002</v>
      </c>
      <c r="B207" s="2" t="s">
        <v>2003</v>
      </c>
      <c r="C207" s="2" t="s">
        <v>2014</v>
      </c>
      <c r="D207" s="11" t="s">
        <v>2009</v>
      </c>
      <c r="E207" s="2" t="str">
        <f t="shared" si="13"/>
        <v>What is the prefix used to inflect the word \"nagsumikap\"?</v>
      </c>
      <c r="F207" s="2" t="str">
        <f t="shared" si="14"/>
        <v>Ano ang unlapi na ginamit sa salitang \"nagsumikap\"?</v>
      </c>
      <c r="G207" s="2" t="str">
        <f t="shared" si="12"/>
        <v>nag-</v>
      </c>
      <c r="H207" s="19" t="s">
        <v>2638</v>
      </c>
      <c r="I207" s="11" t="s">
        <v>496</v>
      </c>
      <c r="J207" s="11" t="s">
        <v>485</v>
      </c>
      <c r="K207" s="11" t="s">
        <v>497</v>
      </c>
      <c r="L207" s="11"/>
      <c r="M207" s="11" t="s">
        <v>487</v>
      </c>
      <c r="N207" s="2" t="s">
        <v>165</v>
      </c>
      <c r="O207" s="2"/>
    </row>
    <row r="208" spans="1:15" ht="15" x14ac:dyDescent="0.2">
      <c r="A208" s="2" t="s">
        <v>2002</v>
      </c>
      <c r="B208" s="2" t="s">
        <v>2003</v>
      </c>
      <c r="C208" s="2" t="s">
        <v>2014</v>
      </c>
      <c r="D208" s="11" t="s">
        <v>2009</v>
      </c>
      <c r="E208" s="2" t="str">
        <f t="shared" si="13"/>
        <v>What is the prefix used to inflect the word \"nagpumilit\"?</v>
      </c>
      <c r="F208" s="2" t="str">
        <f t="shared" si="14"/>
        <v>Ano ang unlapi na ginamit sa salitang \"nagpumilit\"?</v>
      </c>
      <c r="G208" s="2" t="str">
        <f t="shared" si="12"/>
        <v>nag-</v>
      </c>
      <c r="H208" s="19" t="s">
        <v>2639</v>
      </c>
      <c r="I208" s="11" t="s">
        <v>498</v>
      </c>
      <c r="J208" s="11" t="s">
        <v>489</v>
      </c>
      <c r="K208" s="11" t="s">
        <v>497</v>
      </c>
      <c r="L208" s="11"/>
      <c r="M208" s="11" t="s">
        <v>487</v>
      </c>
      <c r="N208" s="2" t="s">
        <v>165</v>
      </c>
      <c r="O208" s="2"/>
    </row>
    <row r="209" spans="1:15" ht="15" x14ac:dyDescent="0.2">
      <c r="A209" s="2" t="s">
        <v>2002</v>
      </c>
      <c r="B209" s="2" t="s">
        <v>2003</v>
      </c>
      <c r="C209" s="2" t="s">
        <v>2014</v>
      </c>
      <c r="D209" s="11" t="s">
        <v>2009</v>
      </c>
      <c r="E209" s="2" t="str">
        <f t="shared" si="13"/>
        <v>What is the prefix used to inflect the word \"nagpumiglas\"?</v>
      </c>
      <c r="F209" s="2" t="str">
        <f t="shared" si="14"/>
        <v>Ano ang unlapi na ginamit sa salitang \"nagpumiglas\"?</v>
      </c>
      <c r="G209" s="2" t="str">
        <f t="shared" si="12"/>
        <v>nag-</v>
      </c>
      <c r="H209" s="19" t="s">
        <v>2640</v>
      </c>
      <c r="I209" s="11" t="s">
        <v>499</v>
      </c>
      <c r="J209" s="11" t="s">
        <v>491</v>
      </c>
      <c r="K209" s="11" t="s">
        <v>497</v>
      </c>
      <c r="L209" s="11"/>
      <c r="M209" s="11" t="s">
        <v>487</v>
      </c>
      <c r="N209" s="2" t="s">
        <v>165</v>
      </c>
      <c r="O209" s="2"/>
    </row>
    <row r="210" spans="1:15" ht="15" x14ac:dyDescent="0.2">
      <c r="A210" s="2" t="s">
        <v>2002</v>
      </c>
      <c r="B210" s="2" t="s">
        <v>2003</v>
      </c>
      <c r="C210" s="2" t="s">
        <v>2014</v>
      </c>
      <c r="D210" s="11" t="s">
        <v>2009</v>
      </c>
      <c r="E210" s="2" t="str">
        <f t="shared" si="13"/>
        <v>What is the prefix used to inflect the word \"nagkumahog\"?</v>
      </c>
      <c r="F210" s="2" t="str">
        <f t="shared" si="14"/>
        <v>Ano ang unlapi na ginamit sa salitang \"nagkumahog\"?</v>
      </c>
      <c r="G210" s="2" t="str">
        <f t="shared" si="12"/>
        <v>nag-</v>
      </c>
      <c r="H210" s="19" t="s">
        <v>2641</v>
      </c>
      <c r="I210" s="11" t="s">
        <v>500</v>
      </c>
      <c r="J210" s="11" t="s">
        <v>493</v>
      </c>
      <c r="K210" s="11" t="s">
        <v>497</v>
      </c>
      <c r="L210" s="11"/>
      <c r="M210" s="11" t="s">
        <v>487</v>
      </c>
      <c r="N210" s="2" t="s">
        <v>165</v>
      </c>
      <c r="O210" s="2"/>
    </row>
    <row r="211" spans="1:15" ht="15" x14ac:dyDescent="0.2">
      <c r="A211" s="2" t="s">
        <v>2002</v>
      </c>
      <c r="B211" s="2" t="s">
        <v>2003</v>
      </c>
      <c r="C211" s="2" t="s">
        <v>2014</v>
      </c>
      <c r="D211" s="11" t="s">
        <v>2009</v>
      </c>
      <c r="E211" s="2" t="str">
        <f t="shared" si="13"/>
        <v>What is the prefix used to inflect the word \"nagsumamo\"?</v>
      </c>
      <c r="F211" s="2" t="str">
        <f t="shared" si="14"/>
        <v>Ano ang unlapi na ginamit sa salitang \"nagsumamo\"?</v>
      </c>
      <c r="G211" s="2" t="str">
        <f t="shared" si="12"/>
        <v>nag-</v>
      </c>
      <c r="H211" s="19" t="s">
        <v>2642</v>
      </c>
      <c r="I211" s="11" t="s">
        <v>501</v>
      </c>
      <c r="J211" s="11" t="s">
        <v>495</v>
      </c>
      <c r="K211" s="11" t="s">
        <v>497</v>
      </c>
      <c r="L211" s="11"/>
      <c r="M211" s="11" t="s">
        <v>487</v>
      </c>
      <c r="N211" s="2" t="s">
        <v>165</v>
      </c>
      <c r="O211" s="2"/>
    </row>
    <row r="212" spans="1:15" ht="15" x14ac:dyDescent="0.2">
      <c r="A212" s="2" t="s">
        <v>2002</v>
      </c>
      <c r="B212" s="2" t="s">
        <v>2003</v>
      </c>
      <c r="C212" s="2" t="s">
        <v>2012</v>
      </c>
      <c r="D212" s="11" t="s">
        <v>2009</v>
      </c>
      <c r="E212" s="2" t="str">
        <f t="shared" ref="E212:E221" si="15">"What is the suffix used to inflect the word " &amp; "\" &amp; """" &amp; I212 &amp; "\" &amp; """" &amp; "?"</f>
        <v>What is the suffix used to inflect the word \"sinulatan\"?</v>
      </c>
      <c r="F212" s="2" t="str">
        <f t="shared" ref="F212:F221" si="16">"Ano ang hulapi na ginamit sa salitang " &amp; "\" &amp; """" &amp; I212 &amp; "\" &amp; """" &amp; "?"</f>
        <v>Ano ang hulapi na ginamit sa salitang \"sinulatan\"?</v>
      </c>
      <c r="G212" s="2" t="str">
        <f t="shared" ref="G212:G231" si="17">MID(K212, FIND("+", K212) + 1, LEN(K212))</f>
        <v>-an</v>
      </c>
      <c r="H212" s="19" t="s">
        <v>2643</v>
      </c>
      <c r="I212" s="2" t="s">
        <v>462</v>
      </c>
      <c r="J212" s="2" t="s">
        <v>285</v>
      </c>
      <c r="K212" s="2" t="s">
        <v>463</v>
      </c>
      <c r="L212" s="2"/>
      <c r="M212" s="2" t="s">
        <v>464</v>
      </c>
      <c r="N212" s="2" t="s">
        <v>165</v>
      </c>
      <c r="O212" s="2"/>
    </row>
    <row r="213" spans="1:15" ht="15" x14ac:dyDescent="0.2">
      <c r="A213" s="2" t="s">
        <v>2002</v>
      </c>
      <c r="B213" s="2" t="s">
        <v>2003</v>
      </c>
      <c r="C213" s="2" t="s">
        <v>2012</v>
      </c>
      <c r="D213" s="11" t="s">
        <v>2009</v>
      </c>
      <c r="E213" s="2" t="str">
        <f t="shared" si="15"/>
        <v>What is the suffix used to inflect the word \"dinampian\"?</v>
      </c>
      <c r="F213" s="2" t="str">
        <f t="shared" si="16"/>
        <v>Ano ang hulapi na ginamit sa salitang \"dinampian\"?</v>
      </c>
      <c r="G213" s="2" t="str">
        <f t="shared" si="17"/>
        <v>-an</v>
      </c>
      <c r="H213" s="19" t="s">
        <v>2644</v>
      </c>
      <c r="I213" s="2" t="s">
        <v>465</v>
      </c>
      <c r="J213" s="2" t="s">
        <v>466</v>
      </c>
      <c r="K213" s="2" t="s">
        <v>463</v>
      </c>
      <c r="L213" s="2"/>
      <c r="M213" s="2" t="s">
        <v>464</v>
      </c>
      <c r="N213" s="2" t="s">
        <v>165</v>
      </c>
      <c r="O213" s="2"/>
    </row>
    <row r="214" spans="1:15" ht="15" x14ac:dyDescent="0.2">
      <c r="A214" s="2" t="s">
        <v>2002</v>
      </c>
      <c r="B214" s="2" t="s">
        <v>2003</v>
      </c>
      <c r="C214" s="2" t="s">
        <v>2012</v>
      </c>
      <c r="D214" s="11" t="s">
        <v>2008</v>
      </c>
      <c r="E214" s="2" t="str">
        <f t="shared" si="15"/>
        <v>What is the suffix used to inflect the word \"pinayungan\"?</v>
      </c>
      <c r="F214" s="2" t="str">
        <f t="shared" si="16"/>
        <v>Ano ang hulapi na ginamit sa salitang \"pinayungan\"?</v>
      </c>
      <c r="G214" s="2" t="str">
        <f t="shared" si="17"/>
        <v>-an</v>
      </c>
      <c r="H214" s="19" t="s">
        <v>2645</v>
      </c>
      <c r="I214" s="2" t="s">
        <v>467</v>
      </c>
      <c r="J214" s="2" t="s">
        <v>468</v>
      </c>
      <c r="K214" s="2" t="s">
        <v>463</v>
      </c>
      <c r="L214" s="2"/>
      <c r="M214" s="2" t="s">
        <v>464</v>
      </c>
      <c r="N214" s="2" t="s">
        <v>224</v>
      </c>
    </row>
    <row r="215" spans="1:15" ht="13" x14ac:dyDescent="0.15">
      <c r="A215" s="2" t="s">
        <v>2002</v>
      </c>
      <c r="B215" s="2" t="s">
        <v>2003</v>
      </c>
      <c r="C215" s="2" t="s">
        <v>2012</v>
      </c>
      <c r="D215" s="2" t="s">
        <v>2011</v>
      </c>
      <c r="E215" s="2" t="str">
        <f t="shared" si="15"/>
        <v>What is the suffix used to inflect the word \"niyurakan\"?</v>
      </c>
      <c r="F215" s="2" t="str">
        <f t="shared" si="16"/>
        <v>Ano ang hulapi na ginamit sa salitang \"niyurakan\"?</v>
      </c>
      <c r="G215" s="2" t="str">
        <f t="shared" si="17"/>
        <v>-an</v>
      </c>
      <c r="H215" s="19" t="s">
        <v>2646</v>
      </c>
      <c r="I215" s="2" t="s">
        <v>469</v>
      </c>
      <c r="J215" s="2" t="s">
        <v>470</v>
      </c>
      <c r="K215" s="2" t="s">
        <v>463</v>
      </c>
      <c r="L215" s="2"/>
      <c r="M215" s="2" t="s">
        <v>464</v>
      </c>
      <c r="N215" s="2" t="s">
        <v>322</v>
      </c>
    </row>
    <row r="216" spans="1:15" ht="13" x14ac:dyDescent="0.15">
      <c r="A216" s="2" t="s">
        <v>2002</v>
      </c>
      <c r="B216" s="2" t="s">
        <v>2003</v>
      </c>
      <c r="C216" s="2" t="s">
        <v>2012</v>
      </c>
      <c r="D216" s="2" t="s">
        <v>2011</v>
      </c>
      <c r="E216" s="2" t="str">
        <f t="shared" si="15"/>
        <v>What is the suffix used to inflect the word \"nilapitan\"?</v>
      </c>
      <c r="F216" s="2" t="str">
        <f t="shared" si="16"/>
        <v>Ano ang hulapi na ginamit sa salitang \"nilapitan\"?</v>
      </c>
      <c r="G216" s="2" t="str">
        <f t="shared" si="17"/>
        <v>-an</v>
      </c>
      <c r="H216" s="19" t="s">
        <v>2647</v>
      </c>
      <c r="I216" s="2" t="s">
        <v>471</v>
      </c>
      <c r="J216" s="2" t="s">
        <v>472</v>
      </c>
      <c r="K216" s="2" t="s">
        <v>463</v>
      </c>
      <c r="L216" s="2"/>
      <c r="M216" s="2" t="s">
        <v>464</v>
      </c>
      <c r="N216" s="2" t="s">
        <v>322</v>
      </c>
    </row>
    <row r="217" spans="1:15" ht="15" x14ac:dyDescent="0.2">
      <c r="A217" s="2" t="s">
        <v>2002</v>
      </c>
      <c r="B217" s="2" t="s">
        <v>2003</v>
      </c>
      <c r="C217" s="2" t="s">
        <v>2012</v>
      </c>
      <c r="D217" s="11" t="s">
        <v>2009</v>
      </c>
      <c r="E217" s="2" t="str">
        <f t="shared" si="15"/>
        <v>What is the suffix used to inflect the word \"hinawahan\"?</v>
      </c>
      <c r="F217" s="2" t="str">
        <f t="shared" si="16"/>
        <v>Ano ang hulapi na ginamit sa salitang \"hinawahan\"?</v>
      </c>
      <c r="G217" s="2" t="str">
        <f t="shared" si="17"/>
        <v>-han</v>
      </c>
      <c r="H217" s="19" t="s">
        <v>2648</v>
      </c>
      <c r="I217" s="2" t="s">
        <v>473</v>
      </c>
      <c r="J217" s="2" t="s">
        <v>474</v>
      </c>
      <c r="K217" s="2" t="s">
        <v>475</v>
      </c>
      <c r="L217" s="2" t="s">
        <v>463</v>
      </c>
      <c r="M217" s="2" t="s">
        <v>464</v>
      </c>
      <c r="N217" s="2" t="s">
        <v>165</v>
      </c>
      <c r="O217" s="2"/>
    </row>
    <row r="218" spans="1:15" ht="15" x14ac:dyDescent="0.2">
      <c r="A218" s="2" t="s">
        <v>2002</v>
      </c>
      <c r="B218" s="2" t="s">
        <v>2003</v>
      </c>
      <c r="C218" s="2" t="s">
        <v>2012</v>
      </c>
      <c r="D218" s="11" t="s">
        <v>2009</v>
      </c>
      <c r="E218" s="2" t="str">
        <f t="shared" si="15"/>
        <v>What is the suffix used to inflect the word \"pinuntahan\"?</v>
      </c>
      <c r="F218" s="2" t="str">
        <f t="shared" si="16"/>
        <v>Ano ang hulapi na ginamit sa salitang \"pinuntahan\"?</v>
      </c>
      <c r="G218" s="2" t="str">
        <f t="shared" si="17"/>
        <v>-han</v>
      </c>
      <c r="H218" s="19" t="s">
        <v>2649</v>
      </c>
      <c r="I218" s="2" t="s">
        <v>476</v>
      </c>
      <c r="J218" s="2" t="s">
        <v>477</v>
      </c>
      <c r="K218" s="2" t="s">
        <v>475</v>
      </c>
      <c r="L218" s="2" t="s">
        <v>463</v>
      </c>
      <c r="M218" s="2" t="s">
        <v>464</v>
      </c>
      <c r="N218" s="2" t="s">
        <v>165</v>
      </c>
      <c r="O218" s="2"/>
    </row>
    <row r="219" spans="1:15" ht="13" x14ac:dyDescent="0.15">
      <c r="A219" s="2" t="s">
        <v>2002</v>
      </c>
      <c r="B219" s="2" t="s">
        <v>2003</v>
      </c>
      <c r="C219" s="2" t="s">
        <v>2012</v>
      </c>
      <c r="D219" s="2" t="s">
        <v>2011</v>
      </c>
      <c r="E219" s="2" t="str">
        <f t="shared" si="15"/>
        <v>What is the suffix used to inflect the word \"nilabahan\"?</v>
      </c>
      <c r="F219" s="2" t="str">
        <f t="shared" si="16"/>
        <v>Ano ang hulapi na ginamit sa salitang \"nilabahan\"?</v>
      </c>
      <c r="G219" s="2" t="str">
        <f t="shared" si="17"/>
        <v>-han</v>
      </c>
      <c r="H219" s="19" t="s">
        <v>2650</v>
      </c>
      <c r="I219" s="2" t="s">
        <v>478</v>
      </c>
      <c r="J219" s="2" t="s">
        <v>479</v>
      </c>
      <c r="K219" s="2" t="s">
        <v>475</v>
      </c>
      <c r="L219" s="2" t="s">
        <v>463</v>
      </c>
      <c r="M219" s="2" t="s">
        <v>464</v>
      </c>
      <c r="N219" s="2" t="s">
        <v>322</v>
      </c>
    </row>
    <row r="220" spans="1:15" ht="15" x14ac:dyDescent="0.2">
      <c r="A220" s="2" t="s">
        <v>2002</v>
      </c>
      <c r="B220" s="2" t="s">
        <v>2003</v>
      </c>
      <c r="C220" s="2" t="s">
        <v>2012</v>
      </c>
      <c r="D220" s="11" t="s">
        <v>2008</v>
      </c>
      <c r="E220" s="2" t="str">
        <f t="shared" si="15"/>
        <v>What is the suffix used to inflect the word \"inayusan\"?</v>
      </c>
      <c r="F220" s="2" t="str">
        <f t="shared" si="16"/>
        <v>Ano ang hulapi na ginamit sa salitang \"inayusan\"?</v>
      </c>
      <c r="G220" s="2" t="str">
        <f t="shared" si="17"/>
        <v>-han</v>
      </c>
      <c r="H220" s="19" t="s">
        <v>2651</v>
      </c>
      <c r="I220" s="2" t="s">
        <v>480</v>
      </c>
      <c r="J220" s="2" t="s">
        <v>176</v>
      </c>
      <c r="K220" s="2" t="s">
        <v>475</v>
      </c>
      <c r="L220" s="2" t="s">
        <v>463</v>
      </c>
      <c r="M220" s="2" t="s">
        <v>464</v>
      </c>
      <c r="N220" s="2" t="s">
        <v>224</v>
      </c>
    </row>
    <row r="221" spans="1:15" ht="13" x14ac:dyDescent="0.15">
      <c r="A221" s="2" t="s">
        <v>2002</v>
      </c>
      <c r="B221" s="2" t="s">
        <v>2003</v>
      </c>
      <c r="C221" s="2" t="s">
        <v>2012</v>
      </c>
      <c r="D221" s="2" t="s">
        <v>2013</v>
      </c>
      <c r="E221" s="2" t="str">
        <f t="shared" si="15"/>
        <v>What is the suffix used to inflect the word \"niregaluhan\"?</v>
      </c>
      <c r="F221" s="2" t="str">
        <f t="shared" si="16"/>
        <v>Ano ang hulapi na ginamit sa salitang \"niregaluhan\"?</v>
      </c>
      <c r="G221" s="2" t="str">
        <f t="shared" si="17"/>
        <v>-han</v>
      </c>
      <c r="H221" s="19" t="s">
        <v>2652</v>
      </c>
      <c r="I221" s="2" t="s">
        <v>481</v>
      </c>
      <c r="J221" s="2" t="s">
        <v>482</v>
      </c>
      <c r="K221" s="2" t="s">
        <v>475</v>
      </c>
      <c r="L221" s="2" t="s">
        <v>463</v>
      </c>
      <c r="M221" s="2" t="s">
        <v>464</v>
      </c>
      <c r="N221" s="2" t="s">
        <v>483</v>
      </c>
    </row>
    <row r="222" spans="1:15" ht="15" x14ac:dyDescent="0.2">
      <c r="A222" s="2" t="s">
        <v>2002</v>
      </c>
      <c r="B222" s="2" t="s">
        <v>2003</v>
      </c>
      <c r="C222" s="2" t="s">
        <v>2014</v>
      </c>
      <c r="D222" s="11" t="s">
        <v>2009</v>
      </c>
      <c r="E222" s="2" t="str">
        <f t="shared" ref="E222:E231" si="18">"What is the infix used to inflect the word " &amp; "\" &amp; """" &amp; I222 &amp; "\" &amp; """" &amp; "?"</f>
        <v>What is the infix used to inflect the word \"magsumikap\"?</v>
      </c>
      <c r="F222" s="2" t="str">
        <f t="shared" ref="F222:F231" si="19">"Ano ang gitlapi na ginamit sa salitang " &amp; "\" &amp; """" &amp; I222 &amp; "\" &amp; """" &amp; "?"</f>
        <v>Ano ang gitlapi na ginamit sa salitang \"magsumikap\"?</v>
      </c>
      <c r="G222" s="2" t="str">
        <f t="shared" si="17"/>
        <v>-um-</v>
      </c>
      <c r="H222" s="19" t="s">
        <v>2653</v>
      </c>
      <c r="I222" s="11" t="s">
        <v>484</v>
      </c>
      <c r="J222" s="11" t="s">
        <v>485</v>
      </c>
      <c r="K222" s="11" t="s">
        <v>486</v>
      </c>
      <c r="L222" s="11"/>
      <c r="M222" s="11" t="s">
        <v>487</v>
      </c>
      <c r="N222" s="2" t="s">
        <v>165</v>
      </c>
      <c r="O222" s="2"/>
    </row>
    <row r="223" spans="1:15" ht="15" x14ac:dyDescent="0.2">
      <c r="A223" s="2" t="s">
        <v>2002</v>
      </c>
      <c r="B223" s="2" t="s">
        <v>2003</v>
      </c>
      <c r="C223" s="2" t="s">
        <v>2014</v>
      </c>
      <c r="D223" s="11" t="s">
        <v>2009</v>
      </c>
      <c r="E223" s="2" t="str">
        <f t="shared" si="18"/>
        <v>What is the infix used to inflect the word \"magpumilit\"?</v>
      </c>
      <c r="F223" s="2" t="str">
        <f t="shared" si="19"/>
        <v>Ano ang gitlapi na ginamit sa salitang \"magpumilit\"?</v>
      </c>
      <c r="G223" s="2" t="str">
        <f t="shared" si="17"/>
        <v>-um-</v>
      </c>
      <c r="H223" s="19" t="s">
        <v>2654</v>
      </c>
      <c r="I223" s="11" t="s">
        <v>488</v>
      </c>
      <c r="J223" s="11" t="s">
        <v>489</v>
      </c>
      <c r="K223" s="11" t="s">
        <v>486</v>
      </c>
      <c r="L223" s="11"/>
      <c r="M223" s="11" t="s">
        <v>487</v>
      </c>
      <c r="N223" s="2" t="s">
        <v>165</v>
      </c>
      <c r="O223" s="2"/>
    </row>
    <row r="224" spans="1:15" ht="15" x14ac:dyDescent="0.2">
      <c r="A224" s="2" t="s">
        <v>2002</v>
      </c>
      <c r="B224" s="2" t="s">
        <v>2003</v>
      </c>
      <c r="C224" s="2" t="s">
        <v>2014</v>
      </c>
      <c r="D224" s="11" t="s">
        <v>2009</v>
      </c>
      <c r="E224" s="2" t="str">
        <f t="shared" si="18"/>
        <v>What is the infix used to inflect the word \"magpumiglas\"?</v>
      </c>
      <c r="F224" s="2" t="str">
        <f t="shared" si="19"/>
        <v>Ano ang gitlapi na ginamit sa salitang \"magpumiglas\"?</v>
      </c>
      <c r="G224" s="2" t="str">
        <f t="shared" si="17"/>
        <v>-um-</v>
      </c>
      <c r="H224" s="19" t="s">
        <v>2655</v>
      </c>
      <c r="I224" s="11" t="s">
        <v>490</v>
      </c>
      <c r="J224" s="11" t="s">
        <v>491</v>
      </c>
      <c r="K224" s="11" t="s">
        <v>486</v>
      </c>
      <c r="L224" s="11"/>
      <c r="M224" s="11" t="s">
        <v>487</v>
      </c>
      <c r="N224" s="2" t="s">
        <v>165</v>
      </c>
      <c r="O224" s="2"/>
    </row>
    <row r="225" spans="1:15" ht="15" x14ac:dyDescent="0.2">
      <c r="A225" s="2" t="s">
        <v>2002</v>
      </c>
      <c r="B225" s="2" t="s">
        <v>2003</v>
      </c>
      <c r="C225" s="2" t="s">
        <v>2014</v>
      </c>
      <c r="D225" s="11" t="s">
        <v>2009</v>
      </c>
      <c r="E225" s="2" t="str">
        <f t="shared" si="18"/>
        <v>What is the infix used to inflect the word \"magkumahog\"?</v>
      </c>
      <c r="F225" s="2" t="str">
        <f t="shared" si="19"/>
        <v>Ano ang gitlapi na ginamit sa salitang \"magkumahog\"?</v>
      </c>
      <c r="G225" s="2" t="str">
        <f t="shared" si="17"/>
        <v>-um-</v>
      </c>
      <c r="H225" s="19" t="s">
        <v>2656</v>
      </c>
      <c r="I225" s="11" t="s">
        <v>492</v>
      </c>
      <c r="J225" s="11" t="s">
        <v>493</v>
      </c>
      <c r="K225" s="11" t="s">
        <v>486</v>
      </c>
      <c r="L225" s="11"/>
      <c r="M225" s="11" t="s">
        <v>487</v>
      </c>
      <c r="N225" s="2" t="s">
        <v>165</v>
      </c>
      <c r="O225" s="2"/>
    </row>
    <row r="226" spans="1:15" ht="15" x14ac:dyDescent="0.2">
      <c r="A226" s="2" t="s">
        <v>2002</v>
      </c>
      <c r="B226" s="2" t="s">
        <v>2003</v>
      </c>
      <c r="C226" s="2" t="s">
        <v>2014</v>
      </c>
      <c r="D226" s="11" t="s">
        <v>2009</v>
      </c>
      <c r="E226" s="2" t="str">
        <f t="shared" si="18"/>
        <v>What is the infix used to inflect the word \"magsumamo\"?</v>
      </c>
      <c r="F226" s="2" t="str">
        <f t="shared" si="19"/>
        <v>Ano ang gitlapi na ginamit sa salitang \"magsumamo\"?</v>
      </c>
      <c r="G226" s="2" t="str">
        <f t="shared" si="17"/>
        <v>-um-</v>
      </c>
      <c r="H226" s="19" t="s">
        <v>2657</v>
      </c>
      <c r="I226" s="11" t="s">
        <v>494</v>
      </c>
      <c r="J226" s="11" t="s">
        <v>495</v>
      </c>
      <c r="K226" s="11" t="s">
        <v>486</v>
      </c>
      <c r="L226" s="11"/>
      <c r="M226" s="11" t="s">
        <v>487</v>
      </c>
      <c r="N226" s="2" t="s">
        <v>165</v>
      </c>
      <c r="O226" s="2"/>
    </row>
    <row r="227" spans="1:15" ht="15" x14ac:dyDescent="0.2">
      <c r="A227" s="2" t="s">
        <v>2002</v>
      </c>
      <c r="B227" s="2" t="s">
        <v>2003</v>
      </c>
      <c r="C227" s="2" t="s">
        <v>2014</v>
      </c>
      <c r="D227" s="11" t="s">
        <v>2009</v>
      </c>
      <c r="E227" s="2" t="str">
        <f t="shared" si="18"/>
        <v>What is the infix used to inflect the word \"nagsumikap\"?</v>
      </c>
      <c r="F227" s="2" t="str">
        <f t="shared" si="19"/>
        <v>Ano ang gitlapi na ginamit sa salitang \"nagsumikap\"?</v>
      </c>
      <c r="G227" s="2" t="str">
        <f t="shared" si="17"/>
        <v>-um-</v>
      </c>
      <c r="H227" s="19" t="s">
        <v>2658</v>
      </c>
      <c r="I227" s="11" t="s">
        <v>496</v>
      </c>
      <c r="J227" s="11" t="s">
        <v>485</v>
      </c>
      <c r="K227" s="11" t="s">
        <v>497</v>
      </c>
      <c r="L227" s="11"/>
      <c r="M227" s="11" t="s">
        <v>487</v>
      </c>
      <c r="N227" s="2" t="s">
        <v>165</v>
      </c>
      <c r="O227" s="2"/>
    </row>
    <row r="228" spans="1:15" ht="15" x14ac:dyDescent="0.2">
      <c r="A228" s="2" t="s">
        <v>2002</v>
      </c>
      <c r="B228" s="2" t="s">
        <v>2003</v>
      </c>
      <c r="C228" s="2" t="s">
        <v>2014</v>
      </c>
      <c r="D228" s="11" t="s">
        <v>2009</v>
      </c>
      <c r="E228" s="2" t="str">
        <f t="shared" si="18"/>
        <v>What is the infix used to inflect the word \"nagpumilit\"?</v>
      </c>
      <c r="F228" s="2" t="str">
        <f t="shared" si="19"/>
        <v>Ano ang gitlapi na ginamit sa salitang \"nagpumilit\"?</v>
      </c>
      <c r="G228" s="2" t="str">
        <f t="shared" si="17"/>
        <v>-um-</v>
      </c>
      <c r="H228" s="19" t="s">
        <v>2659</v>
      </c>
      <c r="I228" s="11" t="s">
        <v>498</v>
      </c>
      <c r="J228" s="11" t="s">
        <v>489</v>
      </c>
      <c r="K228" s="11" t="s">
        <v>497</v>
      </c>
      <c r="L228" s="11"/>
      <c r="M228" s="11" t="s">
        <v>487</v>
      </c>
      <c r="N228" s="2" t="s">
        <v>165</v>
      </c>
      <c r="O228" s="2"/>
    </row>
    <row r="229" spans="1:15" ht="15" x14ac:dyDescent="0.2">
      <c r="A229" s="2" t="s">
        <v>2002</v>
      </c>
      <c r="B229" s="2" t="s">
        <v>2003</v>
      </c>
      <c r="C229" s="2" t="s">
        <v>2014</v>
      </c>
      <c r="D229" s="11" t="s">
        <v>2009</v>
      </c>
      <c r="E229" s="2" t="str">
        <f t="shared" si="18"/>
        <v>What is the infix used to inflect the word \"nagpumiglas\"?</v>
      </c>
      <c r="F229" s="2" t="str">
        <f t="shared" si="19"/>
        <v>Ano ang gitlapi na ginamit sa salitang \"nagpumiglas\"?</v>
      </c>
      <c r="G229" s="2" t="str">
        <f t="shared" si="17"/>
        <v>-um-</v>
      </c>
      <c r="H229" s="19" t="s">
        <v>2660</v>
      </c>
      <c r="I229" s="11" t="s">
        <v>499</v>
      </c>
      <c r="J229" s="11" t="s">
        <v>491</v>
      </c>
      <c r="K229" s="11" t="s">
        <v>497</v>
      </c>
      <c r="L229" s="11"/>
      <c r="M229" s="11" t="s">
        <v>487</v>
      </c>
      <c r="N229" s="2" t="s">
        <v>165</v>
      </c>
      <c r="O229" s="2"/>
    </row>
    <row r="230" spans="1:15" ht="15" x14ac:dyDescent="0.2">
      <c r="A230" s="2" t="s">
        <v>2002</v>
      </c>
      <c r="B230" s="2" t="s">
        <v>2003</v>
      </c>
      <c r="C230" s="2" t="s">
        <v>2014</v>
      </c>
      <c r="D230" s="11" t="s">
        <v>2009</v>
      </c>
      <c r="E230" s="2" t="str">
        <f t="shared" si="18"/>
        <v>What is the infix used to inflect the word \"nagkumahog\"?</v>
      </c>
      <c r="F230" s="2" t="str">
        <f t="shared" si="19"/>
        <v>Ano ang gitlapi na ginamit sa salitang \"nagkumahog\"?</v>
      </c>
      <c r="G230" s="2" t="str">
        <f t="shared" si="17"/>
        <v>-um-</v>
      </c>
      <c r="H230" s="19" t="s">
        <v>2661</v>
      </c>
      <c r="I230" s="11" t="s">
        <v>500</v>
      </c>
      <c r="J230" s="11" t="s">
        <v>493</v>
      </c>
      <c r="K230" s="11" t="s">
        <v>497</v>
      </c>
      <c r="L230" s="11"/>
      <c r="M230" s="11" t="s">
        <v>487</v>
      </c>
      <c r="N230" s="2" t="s">
        <v>165</v>
      </c>
      <c r="O230" s="2"/>
    </row>
    <row r="231" spans="1:15" ht="15" x14ac:dyDescent="0.2">
      <c r="A231" s="2" t="s">
        <v>2002</v>
      </c>
      <c r="B231" s="2" t="s">
        <v>2003</v>
      </c>
      <c r="C231" s="2" t="s">
        <v>2014</v>
      </c>
      <c r="D231" s="11" t="s">
        <v>2009</v>
      </c>
      <c r="E231" s="2" t="str">
        <f t="shared" si="18"/>
        <v>What is the infix used to inflect the word \"nagsumamo\"?</v>
      </c>
      <c r="F231" s="2" t="str">
        <f t="shared" si="19"/>
        <v>Ano ang gitlapi na ginamit sa salitang \"nagsumamo\"?</v>
      </c>
      <c r="G231" s="2" t="str">
        <f t="shared" si="17"/>
        <v>-um-</v>
      </c>
      <c r="H231" s="19" t="s">
        <v>2662</v>
      </c>
      <c r="I231" s="11" t="s">
        <v>501</v>
      </c>
      <c r="J231" s="11" t="s">
        <v>495</v>
      </c>
      <c r="K231" s="11" t="s">
        <v>497</v>
      </c>
      <c r="L231" s="11"/>
      <c r="M231" s="11" t="s">
        <v>487</v>
      </c>
      <c r="N231" s="2" t="s">
        <v>165</v>
      </c>
      <c r="O231" s="2"/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91"/>
  <sheetViews>
    <sheetView topLeftCell="A109" workbookViewId="0">
      <selection activeCell="O1" sqref="O1:O1048576"/>
    </sheetView>
  </sheetViews>
  <sheetFormatPr baseColWidth="10" defaultColWidth="12.6640625" defaultRowHeight="15.75" customHeight="1" x14ac:dyDescent="0.15"/>
  <cols>
    <col min="5" max="5" width="17.5" customWidth="1"/>
    <col min="6" max="6" width="17.1640625" customWidth="1"/>
    <col min="14" max="14" width="39.1640625" customWidth="1"/>
  </cols>
  <sheetData>
    <row r="1" spans="1:15" ht="15.75" customHeight="1" x14ac:dyDescent="0.15">
      <c r="A1" s="2" t="s">
        <v>502</v>
      </c>
      <c r="B1" s="2" t="s">
        <v>503</v>
      </c>
      <c r="C1" s="2" t="s">
        <v>1692</v>
      </c>
      <c r="D1" s="2" t="s">
        <v>2001</v>
      </c>
      <c r="E1" s="2" t="s">
        <v>505</v>
      </c>
      <c r="F1" s="2" t="s">
        <v>506</v>
      </c>
      <c r="G1" s="2" t="s">
        <v>507</v>
      </c>
      <c r="H1" s="2" t="s">
        <v>508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/>
    </row>
    <row r="2" spans="1:15" ht="15.75" customHeight="1" x14ac:dyDescent="0.15">
      <c r="A2" s="2" t="s">
        <v>2002</v>
      </c>
      <c r="B2" s="2" t="s">
        <v>2015</v>
      </c>
      <c r="C2" s="2" t="s">
        <v>52</v>
      </c>
      <c r="D2" s="2" t="s">
        <v>2004</v>
      </c>
      <c r="E2" s="2" t="s">
        <v>2016</v>
      </c>
      <c r="F2" s="2" t="s">
        <v>2017</v>
      </c>
      <c r="G2" s="2" t="s">
        <v>91</v>
      </c>
      <c r="H2" s="19" t="s">
        <v>2663</v>
      </c>
      <c r="I2" s="2" t="s">
        <v>90</v>
      </c>
      <c r="J2" s="2" t="s">
        <v>91</v>
      </c>
      <c r="K2" s="2" t="s">
        <v>92</v>
      </c>
      <c r="M2" s="2" t="s">
        <v>52</v>
      </c>
      <c r="N2" s="2" t="s">
        <v>93</v>
      </c>
      <c r="O2" s="2"/>
    </row>
    <row r="3" spans="1:15" ht="15.75" customHeight="1" x14ac:dyDescent="0.15">
      <c r="A3" s="2" t="s">
        <v>2002</v>
      </c>
      <c r="B3" s="2" t="s">
        <v>2015</v>
      </c>
      <c r="C3" s="2" t="str">
        <f t="shared" ref="C3:C171" si="0">M3</f>
        <v>prefix</v>
      </c>
      <c r="D3" s="2" t="s">
        <v>2004</v>
      </c>
      <c r="E3" s="2" t="str">
        <f t="shared" ref="E3:E191" si="1">"What is the root word of the inflected word " &amp; "\" &amp; """" &amp; I3 &amp; "\" &amp; """" &amp;"?"</f>
        <v>What is the root word of the inflected word \"mandaya\"?</v>
      </c>
      <c r="F3" s="2" t="str">
        <f t="shared" ref="F3:F191" si="2">"Ano ang salitang-ugat ng nilapiang salita na " &amp; "\" &amp; """" &amp; I3 &amp; "\" &amp; """" &amp;"?"</f>
        <v>Ano ang salitang-ugat ng nilapiang salita na \"mandaya\"?</v>
      </c>
      <c r="G3" s="2" t="str">
        <f t="shared" ref="G3:G191" si="3">J3</f>
        <v>daya</v>
      </c>
      <c r="H3" s="19" t="s">
        <v>2664</v>
      </c>
      <c r="I3" s="2" t="s">
        <v>94</v>
      </c>
      <c r="J3" s="2" t="s">
        <v>95</v>
      </c>
      <c r="K3" s="2" t="s">
        <v>92</v>
      </c>
      <c r="M3" s="2" t="s">
        <v>52</v>
      </c>
      <c r="N3" s="2" t="s">
        <v>93</v>
      </c>
      <c r="O3" s="2"/>
    </row>
    <row r="4" spans="1:15" ht="15.75" customHeight="1" x14ac:dyDescent="0.15">
      <c r="A4" s="2" t="s">
        <v>2002</v>
      </c>
      <c r="B4" s="2" t="s">
        <v>2015</v>
      </c>
      <c r="C4" s="2" t="str">
        <f t="shared" si="0"/>
        <v>prefix</v>
      </c>
      <c r="D4" s="2" t="s">
        <v>2004</v>
      </c>
      <c r="E4" s="2" t="str">
        <f t="shared" si="1"/>
        <v>What is the root word of the inflected word \"mapanlamang\"?</v>
      </c>
      <c r="F4" s="2" t="str">
        <f t="shared" si="2"/>
        <v>Ano ang salitang-ugat ng nilapiang salita na \"mapanlamang\"?</v>
      </c>
      <c r="G4" s="2" t="str">
        <f t="shared" si="3"/>
        <v>lamang</v>
      </c>
      <c r="H4" s="19" t="s">
        <v>2665</v>
      </c>
      <c r="I4" s="2" t="s">
        <v>96</v>
      </c>
      <c r="J4" s="2" t="s">
        <v>97</v>
      </c>
      <c r="K4" s="2" t="s">
        <v>98</v>
      </c>
      <c r="M4" s="2" t="s">
        <v>52</v>
      </c>
      <c r="N4" s="2" t="s">
        <v>93</v>
      </c>
      <c r="O4" s="2"/>
    </row>
    <row r="5" spans="1:15" ht="15.75" customHeight="1" x14ac:dyDescent="0.15">
      <c r="A5" s="2" t="s">
        <v>2002</v>
      </c>
      <c r="B5" s="2" t="s">
        <v>2015</v>
      </c>
      <c r="C5" s="2" t="str">
        <f t="shared" si="0"/>
        <v>prefix</v>
      </c>
      <c r="D5" s="2" t="s">
        <v>2004</v>
      </c>
      <c r="E5" s="2" t="str">
        <f t="shared" si="1"/>
        <v>What is the root word of the inflected word \"pambansa\"?</v>
      </c>
      <c r="F5" s="2" t="str">
        <f t="shared" si="2"/>
        <v>Ano ang salitang-ugat ng nilapiang salita na \"pambansa\"?</v>
      </c>
      <c r="G5" s="2" t="str">
        <f t="shared" si="3"/>
        <v>bansa</v>
      </c>
      <c r="H5" s="19" t="s">
        <v>2666</v>
      </c>
      <c r="I5" s="2" t="s">
        <v>99</v>
      </c>
      <c r="J5" s="2" t="s">
        <v>100</v>
      </c>
      <c r="K5" s="2" t="s">
        <v>101</v>
      </c>
      <c r="M5" s="2" t="s">
        <v>52</v>
      </c>
      <c r="N5" s="2" t="s">
        <v>93</v>
      </c>
      <c r="O5" s="2"/>
    </row>
    <row r="6" spans="1:15" ht="15.75" customHeight="1" x14ac:dyDescent="0.15">
      <c r="A6" s="2" t="s">
        <v>2002</v>
      </c>
      <c r="B6" s="2" t="s">
        <v>2015</v>
      </c>
      <c r="C6" s="2" t="str">
        <f t="shared" si="0"/>
        <v>prefix</v>
      </c>
      <c r="D6" s="2" t="s">
        <v>2004</v>
      </c>
      <c r="E6" s="2" t="str">
        <f t="shared" si="1"/>
        <v>What is the root word of the inflected word \"pampito\"?</v>
      </c>
      <c r="F6" s="2" t="str">
        <f t="shared" si="2"/>
        <v>Ano ang salitang-ugat ng nilapiang salita na \"pampito\"?</v>
      </c>
      <c r="G6" s="2" t="str">
        <f t="shared" si="3"/>
        <v>pito</v>
      </c>
      <c r="H6" s="19" t="s">
        <v>2667</v>
      </c>
      <c r="I6" s="2" t="s">
        <v>102</v>
      </c>
      <c r="J6" s="2" t="s">
        <v>103</v>
      </c>
      <c r="K6" s="2" t="s">
        <v>101</v>
      </c>
      <c r="M6" s="2" t="s">
        <v>52</v>
      </c>
      <c r="N6" s="2" t="s">
        <v>93</v>
      </c>
      <c r="O6" s="2"/>
    </row>
    <row r="7" spans="1:15" ht="15.75" customHeight="1" x14ac:dyDescent="0.15">
      <c r="A7" s="2" t="s">
        <v>2002</v>
      </c>
      <c r="B7" s="2" t="s">
        <v>2015</v>
      </c>
      <c r="C7" s="2" t="str">
        <f t="shared" si="0"/>
        <v>prefix</v>
      </c>
      <c r="D7" s="2" t="s">
        <v>2004</v>
      </c>
      <c r="E7" s="2" t="str">
        <f t="shared" si="1"/>
        <v>What is the root word of the inflected word \"nanlaban\"?</v>
      </c>
      <c r="F7" s="2" t="str">
        <f t="shared" si="2"/>
        <v>Ano ang salitang-ugat ng nilapiang salita na \"nanlaban\"?</v>
      </c>
      <c r="G7" s="2" t="str">
        <f t="shared" si="3"/>
        <v>laban</v>
      </c>
      <c r="H7" s="19" t="s">
        <v>2668</v>
      </c>
      <c r="I7" s="2" t="s">
        <v>104</v>
      </c>
      <c r="J7" s="2" t="s">
        <v>105</v>
      </c>
      <c r="K7" s="2" t="s">
        <v>106</v>
      </c>
      <c r="L7" s="2"/>
      <c r="M7" s="2" t="s">
        <v>52</v>
      </c>
      <c r="N7" s="2" t="s">
        <v>93</v>
      </c>
      <c r="O7" s="2"/>
    </row>
    <row r="8" spans="1:15" ht="15.75" customHeight="1" x14ac:dyDescent="0.15">
      <c r="A8" s="2" t="s">
        <v>2002</v>
      </c>
      <c r="B8" s="2" t="s">
        <v>2015</v>
      </c>
      <c r="C8" s="2" t="str">
        <f t="shared" si="0"/>
        <v>prefix</v>
      </c>
      <c r="D8" s="2" t="s">
        <v>2004</v>
      </c>
      <c r="E8" s="2" t="str">
        <f t="shared" si="1"/>
        <v>What is the root word of the inflected word \"ipampinta\"?</v>
      </c>
      <c r="F8" s="2" t="str">
        <f t="shared" si="2"/>
        <v>Ano ang salitang-ugat ng nilapiang salita na \"ipampinta\"?</v>
      </c>
      <c r="G8" s="2" t="str">
        <f t="shared" si="3"/>
        <v>pinta</v>
      </c>
      <c r="H8" s="19" t="s">
        <v>2669</v>
      </c>
      <c r="I8" s="2" t="s">
        <v>107</v>
      </c>
      <c r="J8" s="2" t="s">
        <v>108</v>
      </c>
      <c r="K8" s="2" t="s">
        <v>106</v>
      </c>
      <c r="L8" s="2"/>
      <c r="M8" s="2" t="s">
        <v>52</v>
      </c>
      <c r="N8" s="2" t="s">
        <v>93</v>
      </c>
      <c r="O8" s="2"/>
    </row>
    <row r="9" spans="1:15" ht="15.75" customHeight="1" x14ac:dyDescent="0.15">
      <c r="A9" s="2" t="s">
        <v>2002</v>
      </c>
      <c r="B9" s="2" t="s">
        <v>2015</v>
      </c>
      <c r="C9" s="2" t="str">
        <f t="shared" si="0"/>
        <v>prefix</v>
      </c>
      <c r="D9" s="2" t="s">
        <v>2004</v>
      </c>
      <c r="E9" s="2" t="str">
        <f t="shared" si="1"/>
        <v>What is the root word of the inflected word \"ipantapal\"?</v>
      </c>
      <c r="F9" s="2" t="str">
        <f t="shared" si="2"/>
        <v>Ano ang salitang-ugat ng nilapiang salita na \"ipantapal\"?</v>
      </c>
      <c r="G9" s="2" t="str">
        <f t="shared" si="3"/>
        <v>tapal</v>
      </c>
      <c r="H9" s="19" t="s">
        <v>2670</v>
      </c>
      <c r="I9" s="2" t="s">
        <v>109</v>
      </c>
      <c r="J9" s="2" t="s">
        <v>110</v>
      </c>
      <c r="K9" s="2" t="s">
        <v>111</v>
      </c>
      <c r="M9" s="2" t="s">
        <v>52</v>
      </c>
      <c r="N9" s="2" t="s">
        <v>93</v>
      </c>
      <c r="O9" s="2"/>
    </row>
    <row r="10" spans="1:15" ht="15.75" customHeight="1" x14ac:dyDescent="0.15">
      <c r="A10" s="2" t="s">
        <v>2002</v>
      </c>
      <c r="B10" s="2" t="s">
        <v>2015</v>
      </c>
      <c r="C10" s="2" t="str">
        <f t="shared" si="0"/>
        <v>prefix</v>
      </c>
      <c r="D10" s="2" t="s">
        <v>2004</v>
      </c>
      <c r="E10" s="2" t="str">
        <f t="shared" si="1"/>
        <v>What is the root word of the inflected word \"simbait\"?</v>
      </c>
      <c r="F10" s="2" t="str">
        <f t="shared" si="2"/>
        <v>Ano ang salitang-ugat ng nilapiang salita na \"simbait\"?</v>
      </c>
      <c r="G10" s="2" t="str">
        <f t="shared" si="3"/>
        <v>bait</v>
      </c>
      <c r="H10" s="19" t="s">
        <v>2671</v>
      </c>
      <c r="I10" s="2" t="s">
        <v>112</v>
      </c>
      <c r="J10" s="2" t="s">
        <v>113</v>
      </c>
      <c r="K10" s="2" t="s">
        <v>114</v>
      </c>
      <c r="M10" s="2" t="s">
        <v>52</v>
      </c>
      <c r="N10" s="2" t="s">
        <v>93</v>
      </c>
      <c r="O10" s="2"/>
    </row>
    <row r="11" spans="1:15" ht="15.75" customHeight="1" x14ac:dyDescent="0.15">
      <c r="A11" s="2" t="s">
        <v>2002</v>
      </c>
      <c r="B11" s="2" t="s">
        <v>2015</v>
      </c>
      <c r="C11" s="2" t="str">
        <f t="shared" si="0"/>
        <v>prefix</v>
      </c>
      <c r="D11" s="2" t="s">
        <v>2004</v>
      </c>
      <c r="E11" s="2" t="str">
        <f t="shared" si="1"/>
        <v>What is the root word of the inflected word \"sintibay\"?</v>
      </c>
      <c r="F11" s="2" t="str">
        <f t="shared" si="2"/>
        <v>Ano ang salitang-ugat ng nilapiang salita na \"sintibay\"?</v>
      </c>
      <c r="G11" s="2" t="str">
        <f t="shared" si="3"/>
        <v>tibay</v>
      </c>
      <c r="H11" s="19" t="s">
        <v>2672</v>
      </c>
      <c r="I11" s="2" t="s">
        <v>115</v>
      </c>
      <c r="J11" s="2" t="s">
        <v>116</v>
      </c>
      <c r="K11" s="2" t="s">
        <v>114</v>
      </c>
      <c r="M11" s="2" t="s">
        <v>52</v>
      </c>
      <c r="N11" s="2" t="s">
        <v>93</v>
      </c>
      <c r="O11" s="2"/>
    </row>
    <row r="12" spans="1:15" ht="15.75" customHeight="1" x14ac:dyDescent="0.15">
      <c r="A12" s="2" t="s">
        <v>2002</v>
      </c>
      <c r="B12" s="2" t="s">
        <v>2015</v>
      </c>
      <c r="C12" s="2" t="str">
        <f t="shared" si="0"/>
        <v>prefix</v>
      </c>
      <c r="D12" s="2" t="s">
        <v>2007</v>
      </c>
      <c r="E12" s="2" t="str">
        <f t="shared" si="1"/>
        <v>What is the root word of the inflected word \"panguha\"?</v>
      </c>
      <c r="F12" s="2" t="str">
        <f t="shared" si="2"/>
        <v>Ano ang salitang-ugat ng nilapiang salita na \"panguha\"?</v>
      </c>
      <c r="G12" s="2" t="str">
        <f t="shared" si="3"/>
        <v>kuha</v>
      </c>
      <c r="H12" s="19" t="s">
        <v>2673</v>
      </c>
      <c r="I12" s="2" t="s">
        <v>117</v>
      </c>
      <c r="J12" s="2" t="s">
        <v>118</v>
      </c>
      <c r="K12" s="2" t="s">
        <v>101</v>
      </c>
      <c r="L12" s="2"/>
      <c r="M12" s="2" t="s">
        <v>52</v>
      </c>
      <c r="N12" s="2" t="s">
        <v>119</v>
      </c>
      <c r="O12" s="2"/>
    </row>
    <row r="13" spans="1:15" ht="15.75" customHeight="1" x14ac:dyDescent="0.15">
      <c r="A13" s="2" t="s">
        <v>2002</v>
      </c>
      <c r="B13" s="2" t="s">
        <v>2015</v>
      </c>
      <c r="C13" s="2" t="str">
        <f t="shared" si="0"/>
        <v>prefix</v>
      </c>
      <c r="D13" s="2" t="s">
        <v>2007</v>
      </c>
      <c r="E13" s="2" t="str">
        <f t="shared" si="1"/>
        <v>What is the root word of the inflected word \"panabas\"?</v>
      </c>
      <c r="F13" s="2" t="str">
        <f t="shared" si="2"/>
        <v>Ano ang salitang-ugat ng nilapiang salita na \"panabas\"?</v>
      </c>
      <c r="G13" s="2" t="str">
        <f t="shared" si="3"/>
        <v>tabas</v>
      </c>
      <c r="H13" s="19" t="s">
        <v>2674</v>
      </c>
      <c r="I13" s="2" t="s">
        <v>120</v>
      </c>
      <c r="J13" s="2" t="s">
        <v>121</v>
      </c>
      <c r="K13" s="2" t="s">
        <v>101</v>
      </c>
      <c r="L13" s="2"/>
      <c r="M13" s="2" t="s">
        <v>52</v>
      </c>
      <c r="N13" s="2" t="s">
        <v>119</v>
      </c>
      <c r="O13" s="2"/>
    </row>
    <row r="14" spans="1:15" ht="15.75" customHeight="1" x14ac:dyDescent="0.15">
      <c r="A14" s="2" t="s">
        <v>2002</v>
      </c>
      <c r="B14" s="2" t="s">
        <v>2015</v>
      </c>
      <c r="C14" s="2" t="str">
        <f t="shared" si="0"/>
        <v>prefix</v>
      </c>
      <c r="D14" s="2" t="s">
        <v>2007</v>
      </c>
      <c r="E14" s="2" t="str">
        <f t="shared" si="1"/>
        <v>What is the root word of the inflected word \"pamatay\"?</v>
      </c>
      <c r="F14" s="2" t="str">
        <f t="shared" si="2"/>
        <v>Ano ang salitang-ugat ng nilapiang salita na \"pamatay\"?</v>
      </c>
      <c r="G14" s="2" t="str">
        <f t="shared" si="3"/>
        <v>patay</v>
      </c>
      <c r="H14" s="19" t="s">
        <v>2675</v>
      </c>
      <c r="I14" s="2" t="s">
        <v>122</v>
      </c>
      <c r="J14" s="2" t="s">
        <v>123</v>
      </c>
      <c r="K14" s="2" t="s">
        <v>101</v>
      </c>
      <c r="L14" s="2"/>
      <c r="M14" s="2" t="s">
        <v>52</v>
      </c>
      <c r="N14" s="2" t="s">
        <v>119</v>
      </c>
      <c r="O14" s="2"/>
    </row>
    <row r="15" spans="1:15" ht="15.75" customHeight="1" x14ac:dyDescent="0.15">
      <c r="A15" s="2" t="s">
        <v>2002</v>
      </c>
      <c r="B15" s="2" t="s">
        <v>2015</v>
      </c>
      <c r="C15" s="2" t="str">
        <f t="shared" si="0"/>
        <v>prefix</v>
      </c>
      <c r="D15" s="2" t="s">
        <v>2007</v>
      </c>
      <c r="E15" s="2" t="str">
        <f t="shared" si="1"/>
        <v>What is the root word of the inflected word \"manahi\"?</v>
      </c>
      <c r="F15" s="2" t="str">
        <f t="shared" si="2"/>
        <v>Ano ang salitang-ugat ng nilapiang salita na \"manahi\"?</v>
      </c>
      <c r="G15" s="2" t="str">
        <f t="shared" si="3"/>
        <v>tahi</v>
      </c>
      <c r="H15" s="19" t="s">
        <v>2676</v>
      </c>
      <c r="I15" s="2" t="s">
        <v>124</v>
      </c>
      <c r="J15" s="2" t="s">
        <v>125</v>
      </c>
      <c r="K15" s="2" t="s">
        <v>92</v>
      </c>
      <c r="L15" s="2"/>
      <c r="M15" s="2" t="s">
        <v>52</v>
      </c>
      <c r="N15" s="2" t="s">
        <v>119</v>
      </c>
      <c r="O15" s="2"/>
    </row>
    <row r="16" spans="1:15" ht="15.75" customHeight="1" x14ac:dyDescent="0.15">
      <c r="A16" s="2" t="s">
        <v>2002</v>
      </c>
      <c r="B16" s="2" t="s">
        <v>2015</v>
      </c>
      <c r="C16" s="2" t="str">
        <f t="shared" si="0"/>
        <v>prefix</v>
      </c>
      <c r="D16" s="2" t="s">
        <v>2007</v>
      </c>
      <c r="E16" s="2" t="str">
        <f t="shared" si="1"/>
        <v>What is the root word of the inflected word \"maniko\"?</v>
      </c>
      <c r="F16" s="2" t="str">
        <f t="shared" si="2"/>
        <v>Ano ang salitang-ugat ng nilapiang salita na \"maniko\"?</v>
      </c>
      <c r="G16" s="2" t="str">
        <f t="shared" si="3"/>
        <v>siko</v>
      </c>
      <c r="H16" s="19" t="s">
        <v>2677</v>
      </c>
      <c r="I16" s="2" t="s">
        <v>126</v>
      </c>
      <c r="J16" s="2" t="s">
        <v>127</v>
      </c>
      <c r="K16" s="2" t="s">
        <v>92</v>
      </c>
      <c r="L16" s="2"/>
      <c r="M16" s="2" t="s">
        <v>52</v>
      </c>
      <c r="N16" s="2" t="s">
        <v>119</v>
      </c>
      <c r="O16" s="2"/>
    </row>
    <row r="17" spans="1:15" ht="15.75" customHeight="1" x14ac:dyDescent="0.15">
      <c r="A17" s="2" t="s">
        <v>2002</v>
      </c>
      <c r="B17" s="2" t="s">
        <v>2015</v>
      </c>
      <c r="C17" s="2" t="str">
        <f t="shared" si="0"/>
        <v>prefix</v>
      </c>
      <c r="D17" s="2" t="s">
        <v>2007</v>
      </c>
      <c r="E17" s="2" t="str">
        <f t="shared" si="1"/>
        <v>What is the root word of the inflected word \"mamuksa\"?</v>
      </c>
      <c r="F17" s="2" t="str">
        <f t="shared" si="2"/>
        <v>Ano ang salitang-ugat ng nilapiang salita na \"mamuksa\"?</v>
      </c>
      <c r="G17" s="2" t="str">
        <f t="shared" si="3"/>
        <v>puksa</v>
      </c>
      <c r="H17" s="19" t="s">
        <v>2678</v>
      </c>
      <c r="I17" s="2" t="s">
        <v>128</v>
      </c>
      <c r="J17" s="2" t="s">
        <v>129</v>
      </c>
      <c r="K17" s="2" t="s">
        <v>92</v>
      </c>
      <c r="L17" s="2"/>
      <c r="M17" s="2" t="s">
        <v>52</v>
      </c>
      <c r="N17" s="2" t="s">
        <v>119</v>
      </c>
      <c r="O17" s="2"/>
    </row>
    <row r="18" spans="1:15" ht="15.75" customHeight="1" x14ac:dyDescent="0.15">
      <c r="A18" s="2" t="s">
        <v>2002</v>
      </c>
      <c r="B18" s="2" t="s">
        <v>2015</v>
      </c>
      <c r="C18" s="2" t="str">
        <f t="shared" si="0"/>
        <v>prefix</v>
      </c>
      <c r="D18" s="2" t="s">
        <v>2007</v>
      </c>
      <c r="E18" s="2" t="str">
        <f t="shared" si="1"/>
        <v>What is the root word of the inflected word \"nanampal\"?</v>
      </c>
      <c r="F18" s="2" t="str">
        <f t="shared" si="2"/>
        <v>Ano ang salitang-ugat ng nilapiang salita na \"nanampal\"?</v>
      </c>
      <c r="G18" s="2" t="str">
        <f t="shared" si="3"/>
        <v>sampal</v>
      </c>
      <c r="H18" s="19" t="s">
        <v>2679</v>
      </c>
      <c r="I18" s="2" t="s">
        <v>130</v>
      </c>
      <c r="J18" s="2" t="s">
        <v>131</v>
      </c>
      <c r="K18" s="2" t="s">
        <v>106</v>
      </c>
      <c r="L18" s="2"/>
      <c r="M18" s="2" t="s">
        <v>52</v>
      </c>
      <c r="N18" s="2" t="s">
        <v>119</v>
      </c>
      <c r="O18" s="2"/>
    </row>
    <row r="19" spans="1:15" ht="15.75" customHeight="1" x14ac:dyDescent="0.15">
      <c r="A19" s="2" t="s">
        <v>2002</v>
      </c>
      <c r="B19" s="2" t="s">
        <v>2015</v>
      </c>
      <c r="C19" s="2" t="str">
        <f t="shared" si="0"/>
        <v>prefix</v>
      </c>
      <c r="D19" s="2" t="s">
        <v>2007</v>
      </c>
      <c r="E19" s="2" t="str">
        <f t="shared" si="1"/>
        <v>What is the root word of the inflected word \"namigay\"?</v>
      </c>
      <c r="F19" s="2" t="str">
        <f t="shared" si="2"/>
        <v>Ano ang salitang-ugat ng nilapiang salita na \"namigay\"?</v>
      </c>
      <c r="G19" s="2" t="str">
        <f t="shared" si="3"/>
        <v>bigay</v>
      </c>
      <c r="H19" s="19" t="s">
        <v>2680</v>
      </c>
      <c r="I19" s="2" t="s">
        <v>132</v>
      </c>
      <c r="J19" s="2" t="s">
        <v>133</v>
      </c>
      <c r="K19" s="2" t="s">
        <v>106</v>
      </c>
      <c r="L19" s="2"/>
      <c r="M19" s="2" t="s">
        <v>52</v>
      </c>
      <c r="N19" s="2" t="s">
        <v>119</v>
      </c>
      <c r="O19" s="2"/>
    </row>
    <row r="20" spans="1:15" ht="15.75" customHeight="1" x14ac:dyDescent="0.15">
      <c r="A20" s="2" t="s">
        <v>2002</v>
      </c>
      <c r="B20" s="2" t="s">
        <v>2015</v>
      </c>
      <c r="C20" s="2" t="str">
        <f t="shared" si="0"/>
        <v>prefix</v>
      </c>
      <c r="D20" s="2" t="s">
        <v>2007</v>
      </c>
      <c r="E20" s="2" t="str">
        <f t="shared" si="1"/>
        <v>What is the root word of the inflected word \"namalo\"?</v>
      </c>
      <c r="F20" s="2" t="str">
        <f t="shared" si="2"/>
        <v>Ano ang salitang-ugat ng nilapiang salita na \"namalo\"?</v>
      </c>
      <c r="G20" s="2" t="str">
        <f t="shared" si="3"/>
        <v>palo</v>
      </c>
      <c r="H20" s="19" t="s">
        <v>2681</v>
      </c>
      <c r="I20" s="2" t="s">
        <v>134</v>
      </c>
      <c r="J20" s="2" t="s">
        <v>135</v>
      </c>
      <c r="K20" s="2" t="s">
        <v>106</v>
      </c>
      <c r="L20" s="2"/>
      <c r="M20" s="2" t="s">
        <v>52</v>
      </c>
      <c r="N20" s="2" t="s">
        <v>119</v>
      </c>
      <c r="O20" s="2"/>
    </row>
    <row r="21" spans="1:15" ht="15.75" customHeight="1" x14ac:dyDescent="0.15">
      <c r="A21" s="2" t="s">
        <v>2002</v>
      </c>
      <c r="B21" s="2" t="s">
        <v>2015</v>
      </c>
      <c r="C21" s="2" t="str">
        <f t="shared" si="0"/>
        <v>prefix</v>
      </c>
      <c r="D21" s="2" t="s">
        <v>2007</v>
      </c>
      <c r="E21" s="2" t="str">
        <f t="shared" si="1"/>
        <v>What is the root word of the inflected word \"mapanakit\"?</v>
      </c>
      <c r="F21" s="2" t="str">
        <f t="shared" si="2"/>
        <v>Ano ang salitang-ugat ng nilapiang salita na \"mapanakit\"?</v>
      </c>
      <c r="G21" s="2" t="str">
        <f t="shared" si="3"/>
        <v>sakit</v>
      </c>
      <c r="H21" s="19" t="s">
        <v>2682</v>
      </c>
      <c r="I21" s="2" t="s">
        <v>136</v>
      </c>
      <c r="J21" s="2" t="s">
        <v>137</v>
      </c>
      <c r="K21" s="2" t="s">
        <v>98</v>
      </c>
      <c r="L21" s="2"/>
      <c r="M21" s="2" t="s">
        <v>52</v>
      </c>
      <c r="N21" s="2" t="s">
        <v>119</v>
      </c>
      <c r="O21" s="2"/>
    </row>
    <row r="22" spans="1:15" ht="15.75" customHeight="1" x14ac:dyDescent="0.15">
      <c r="A22" s="2" t="s">
        <v>2002</v>
      </c>
      <c r="B22" s="2" t="s">
        <v>2015</v>
      </c>
      <c r="C22" s="2" t="str">
        <f t="shared" si="0"/>
        <v>prefix</v>
      </c>
      <c r="D22" s="2" t="s">
        <v>2008</v>
      </c>
      <c r="E22" s="2" t="str">
        <f t="shared" si="1"/>
        <v>What is the root word of the inflected word \"marapat\"?</v>
      </c>
      <c r="F22" s="2" t="str">
        <f t="shared" si="2"/>
        <v>Ano ang salitang-ugat ng nilapiang salita na \"marapat\"?</v>
      </c>
      <c r="G22" s="2" t="str">
        <f t="shared" si="3"/>
        <v>dapat</v>
      </c>
      <c r="H22" s="19" t="s">
        <v>2683</v>
      </c>
      <c r="I22" s="2" t="s">
        <v>138</v>
      </c>
      <c r="J22" s="2" t="s">
        <v>139</v>
      </c>
      <c r="K22" s="2" t="s">
        <v>140</v>
      </c>
      <c r="L22" s="2"/>
      <c r="M22" s="2" t="s">
        <v>52</v>
      </c>
      <c r="N22" s="2" t="s">
        <v>141</v>
      </c>
      <c r="O22" s="2"/>
    </row>
    <row r="23" spans="1:15" ht="15.75" customHeight="1" x14ac:dyDescent="0.15">
      <c r="A23" s="2" t="s">
        <v>2002</v>
      </c>
      <c r="B23" s="2" t="s">
        <v>2015</v>
      </c>
      <c r="C23" s="2" t="str">
        <f t="shared" si="0"/>
        <v>prefix</v>
      </c>
      <c r="D23" s="2" t="s">
        <v>2008</v>
      </c>
      <c r="E23" s="2" t="str">
        <f t="shared" si="1"/>
        <v>What is the root word of the inflected word \"marunong\"?</v>
      </c>
      <c r="F23" s="2" t="str">
        <f t="shared" si="2"/>
        <v>Ano ang salitang-ugat ng nilapiang salita na \"marunong\"?</v>
      </c>
      <c r="G23" s="2" t="str">
        <f t="shared" si="3"/>
        <v>dunong</v>
      </c>
      <c r="H23" s="19" t="s">
        <v>2684</v>
      </c>
      <c r="I23" s="2" t="s">
        <v>142</v>
      </c>
      <c r="J23" s="2" t="s">
        <v>143</v>
      </c>
      <c r="K23" s="2" t="s">
        <v>140</v>
      </c>
      <c r="L23" s="2"/>
      <c r="M23" s="2" t="s">
        <v>52</v>
      </c>
      <c r="N23" s="2" t="s">
        <v>141</v>
      </c>
      <c r="O23" s="2"/>
    </row>
    <row r="24" spans="1:15" ht="15.75" customHeight="1" x14ac:dyDescent="0.15">
      <c r="A24" s="2" t="s">
        <v>2002</v>
      </c>
      <c r="B24" s="2" t="s">
        <v>2015</v>
      </c>
      <c r="C24" s="2" t="str">
        <f t="shared" si="0"/>
        <v>prefix</v>
      </c>
      <c r="D24" s="2" t="s">
        <v>2008</v>
      </c>
      <c r="E24" s="2" t="str">
        <f t="shared" si="1"/>
        <v>What is the root word of the inflected word \"marangal\"?</v>
      </c>
      <c r="F24" s="2" t="str">
        <f t="shared" si="2"/>
        <v>Ano ang salitang-ugat ng nilapiang salita na \"marangal\"?</v>
      </c>
      <c r="G24" s="2" t="str">
        <f t="shared" si="3"/>
        <v>dangal</v>
      </c>
      <c r="H24" s="19" t="s">
        <v>2685</v>
      </c>
      <c r="I24" s="2" t="s">
        <v>144</v>
      </c>
      <c r="J24" s="2" t="s">
        <v>145</v>
      </c>
      <c r="K24" s="2" t="s">
        <v>140</v>
      </c>
      <c r="L24" s="2"/>
      <c r="M24" s="2" t="s">
        <v>52</v>
      </c>
      <c r="N24" s="2" t="s">
        <v>141</v>
      </c>
      <c r="O24" s="2"/>
    </row>
    <row r="25" spans="1:15" ht="15.75" customHeight="1" x14ac:dyDescent="0.15">
      <c r="A25" s="2" t="s">
        <v>2002</v>
      </c>
      <c r="B25" s="2" t="s">
        <v>2015</v>
      </c>
      <c r="C25" s="2" t="str">
        <f t="shared" si="0"/>
        <v>prefix</v>
      </c>
      <c r="D25" s="2" t="s">
        <v>2008</v>
      </c>
      <c r="E25" s="2" t="str">
        <f t="shared" si="1"/>
        <v>What is the root word of the inflected word \"maringal\"?</v>
      </c>
      <c r="F25" s="2" t="str">
        <f t="shared" si="2"/>
        <v>Ano ang salitang-ugat ng nilapiang salita na \"maringal\"?</v>
      </c>
      <c r="G25" s="2" t="str">
        <f t="shared" si="3"/>
        <v>dingal</v>
      </c>
      <c r="H25" s="19" t="s">
        <v>2686</v>
      </c>
      <c r="I25" s="2" t="s">
        <v>146</v>
      </c>
      <c r="J25" s="2" t="s">
        <v>147</v>
      </c>
      <c r="K25" s="2" t="s">
        <v>140</v>
      </c>
      <c r="L25" s="2"/>
      <c r="M25" s="2" t="s">
        <v>52</v>
      </c>
      <c r="N25" s="2" t="s">
        <v>141</v>
      </c>
    </row>
    <row r="26" spans="1:15" ht="15.75" customHeight="1" x14ac:dyDescent="0.15">
      <c r="A26" s="2" t="s">
        <v>2002</v>
      </c>
      <c r="B26" s="2" t="s">
        <v>2015</v>
      </c>
      <c r="C26" s="2" t="str">
        <f t="shared" si="0"/>
        <v>prefix</v>
      </c>
      <c r="D26" s="2" t="s">
        <v>2008</v>
      </c>
      <c r="E26" s="2" t="str">
        <f t="shared" si="1"/>
        <v>What is the root word of the inflected word \"makaraos\"?</v>
      </c>
      <c r="F26" s="2" t="str">
        <f t="shared" si="2"/>
        <v>Ano ang salitang-ugat ng nilapiang salita na \"makaraos\"?</v>
      </c>
      <c r="G26" s="2" t="str">
        <f t="shared" si="3"/>
        <v>daos</v>
      </c>
      <c r="H26" s="19" t="s">
        <v>2687</v>
      </c>
      <c r="I26" s="2" t="s">
        <v>148</v>
      </c>
      <c r="J26" s="2" t="s">
        <v>149</v>
      </c>
      <c r="K26" s="2" t="s">
        <v>150</v>
      </c>
      <c r="L26" s="2"/>
      <c r="M26" s="2" t="s">
        <v>52</v>
      </c>
      <c r="N26" s="2" t="s">
        <v>141</v>
      </c>
      <c r="O26" s="2"/>
    </row>
    <row r="27" spans="1:15" ht="15.75" customHeight="1" x14ac:dyDescent="0.15">
      <c r="A27" s="2" t="s">
        <v>2002</v>
      </c>
      <c r="B27" s="2" t="s">
        <v>2015</v>
      </c>
      <c r="C27" s="2" t="str">
        <f t="shared" si="0"/>
        <v>prefix</v>
      </c>
      <c r="D27" s="2" t="s">
        <v>2008</v>
      </c>
      <c r="E27" s="2" t="str">
        <f t="shared" si="1"/>
        <v>What is the root word of the inflected word \"mamasyal\"?</v>
      </c>
      <c r="F27" s="2" t="str">
        <f t="shared" si="2"/>
        <v>Ano ang salitang-ugat ng nilapiang salita na \"mamasyal\"?</v>
      </c>
      <c r="G27" s="2" t="str">
        <f t="shared" si="3"/>
        <v>pasyal</v>
      </c>
      <c r="H27" s="19" t="s">
        <v>2688</v>
      </c>
      <c r="I27" s="2" t="s">
        <v>151</v>
      </c>
      <c r="J27" s="2" t="s">
        <v>152</v>
      </c>
      <c r="K27" s="2" t="s">
        <v>140</v>
      </c>
      <c r="L27" s="2"/>
      <c r="M27" s="2" t="s">
        <v>52</v>
      </c>
      <c r="N27" s="2" t="s">
        <v>141</v>
      </c>
    </row>
    <row r="28" spans="1:15" ht="15.75" customHeight="1" x14ac:dyDescent="0.15">
      <c r="A28" s="2" t="s">
        <v>2002</v>
      </c>
      <c r="B28" s="2" t="s">
        <v>2015</v>
      </c>
      <c r="C28" s="2" t="str">
        <f t="shared" si="0"/>
        <v>prefix</v>
      </c>
      <c r="D28" s="2" t="s">
        <v>2008</v>
      </c>
      <c r="E28" s="2" t="str">
        <f t="shared" si="1"/>
        <v>What is the root word of the inflected word \"namula\"?</v>
      </c>
      <c r="F28" s="2" t="str">
        <f t="shared" si="2"/>
        <v>Ano ang salitang-ugat ng nilapiang salita na \"namula\"?</v>
      </c>
      <c r="G28" s="2" t="str">
        <f t="shared" si="3"/>
        <v>pula</v>
      </c>
      <c r="H28" s="19" t="s">
        <v>2689</v>
      </c>
      <c r="I28" s="2" t="s">
        <v>153</v>
      </c>
      <c r="J28" s="2" t="s">
        <v>154</v>
      </c>
      <c r="K28" s="2" t="s">
        <v>155</v>
      </c>
      <c r="L28" s="2"/>
      <c r="M28" s="2" t="s">
        <v>52</v>
      </c>
      <c r="N28" s="2" t="s">
        <v>141</v>
      </c>
      <c r="O28" s="2"/>
    </row>
    <row r="29" spans="1:15" ht="15.75" customHeight="1" x14ac:dyDescent="0.15">
      <c r="A29" s="2" t="s">
        <v>2002</v>
      </c>
      <c r="B29" s="2" t="s">
        <v>2015</v>
      </c>
      <c r="C29" s="2" t="str">
        <f t="shared" si="0"/>
        <v>prefix</v>
      </c>
      <c r="D29" s="2" t="s">
        <v>2008</v>
      </c>
      <c r="E29" s="2" t="str">
        <f t="shared" si="1"/>
        <v>What is the root word of the inflected word \"namutla\"?</v>
      </c>
      <c r="F29" s="2" t="str">
        <f t="shared" si="2"/>
        <v>Ano ang salitang-ugat ng nilapiang salita na \"namutla\"?</v>
      </c>
      <c r="G29" s="2" t="str">
        <f t="shared" si="3"/>
        <v>putla</v>
      </c>
      <c r="H29" s="19" t="s">
        <v>2690</v>
      </c>
      <c r="I29" s="2" t="s">
        <v>156</v>
      </c>
      <c r="J29" s="2" t="s">
        <v>157</v>
      </c>
      <c r="K29" s="2" t="s">
        <v>155</v>
      </c>
      <c r="L29" s="2"/>
      <c r="M29" s="2" t="s">
        <v>52</v>
      </c>
      <c r="N29" s="2" t="s">
        <v>141</v>
      </c>
      <c r="O29" s="2"/>
    </row>
    <row r="30" spans="1:15" ht="15.75" customHeight="1" x14ac:dyDescent="0.15">
      <c r="A30" s="2" t="s">
        <v>2002</v>
      </c>
      <c r="B30" s="2" t="s">
        <v>2015</v>
      </c>
      <c r="C30" s="2" t="str">
        <f t="shared" si="0"/>
        <v>prefix</v>
      </c>
      <c r="D30" s="2" t="s">
        <v>2008</v>
      </c>
      <c r="E30" s="2" t="str">
        <f t="shared" si="1"/>
        <v>What is the root word of the inflected word \"namayat\"?</v>
      </c>
      <c r="F30" s="2" t="str">
        <f t="shared" si="2"/>
        <v>Ano ang salitang-ugat ng nilapiang salita na \"namayat\"?</v>
      </c>
      <c r="G30" s="2" t="str">
        <f t="shared" si="3"/>
        <v>payat</v>
      </c>
      <c r="H30" s="19" t="s">
        <v>2691</v>
      </c>
      <c r="I30" s="2" t="s">
        <v>158</v>
      </c>
      <c r="J30" s="2" t="s">
        <v>159</v>
      </c>
      <c r="K30" s="2" t="s">
        <v>155</v>
      </c>
      <c r="L30" s="2"/>
      <c r="M30" s="2" t="s">
        <v>52</v>
      </c>
      <c r="N30" s="2" t="s">
        <v>141</v>
      </c>
      <c r="O30" s="2"/>
    </row>
    <row r="31" spans="1:15" ht="15.75" customHeight="1" x14ac:dyDescent="0.15">
      <c r="A31" s="2" t="s">
        <v>2002</v>
      </c>
      <c r="B31" s="2" t="s">
        <v>2015</v>
      </c>
      <c r="C31" s="2" t="str">
        <f t="shared" si="0"/>
        <v>prefix</v>
      </c>
      <c r="D31" s="2" t="s">
        <v>2008</v>
      </c>
      <c r="E31" s="2" t="str">
        <f t="shared" si="1"/>
        <v>What is the root word of the inflected word \"manaon\"?</v>
      </c>
      <c r="F31" s="2" t="str">
        <f t="shared" si="2"/>
        <v>Ano ang salitang-ugat ng nilapiang salita na \"manaon\"?</v>
      </c>
      <c r="G31" s="2" t="str">
        <f t="shared" si="3"/>
        <v>taon</v>
      </c>
      <c r="H31" s="19" t="s">
        <v>2692</v>
      </c>
      <c r="I31" s="2" t="s">
        <v>160</v>
      </c>
      <c r="J31" s="2" t="s">
        <v>161</v>
      </c>
      <c r="K31" s="2" t="s">
        <v>140</v>
      </c>
      <c r="L31" s="2"/>
      <c r="M31" s="2" t="s">
        <v>52</v>
      </c>
      <c r="N31" s="2" t="s">
        <v>141</v>
      </c>
      <c r="O31" s="2"/>
    </row>
    <row r="32" spans="1:15" ht="15.75" customHeight="1" x14ac:dyDescent="0.15">
      <c r="A32" s="2" t="s">
        <v>2002</v>
      </c>
      <c r="B32" s="2" t="s">
        <v>2015</v>
      </c>
      <c r="C32" s="2" t="str">
        <f t="shared" si="0"/>
        <v>prefix</v>
      </c>
      <c r="D32" s="2" t="s">
        <v>2009</v>
      </c>
      <c r="E32" s="2" t="str">
        <f t="shared" si="1"/>
        <v>What is the root word of the inflected word \"uminom\"?</v>
      </c>
      <c r="F32" s="2" t="str">
        <f t="shared" si="2"/>
        <v>Ano ang salitang-ugat ng nilapiang salita na \"uminom\"?</v>
      </c>
      <c r="G32" s="2" t="str">
        <f t="shared" si="3"/>
        <v>inom</v>
      </c>
      <c r="H32" s="19" t="s">
        <v>2693</v>
      </c>
      <c r="I32" s="2" t="s">
        <v>162</v>
      </c>
      <c r="J32" s="2" t="s">
        <v>163</v>
      </c>
      <c r="K32" s="2" t="s">
        <v>164</v>
      </c>
      <c r="L32" s="2"/>
      <c r="M32" s="2" t="s">
        <v>52</v>
      </c>
      <c r="N32" s="2" t="s">
        <v>165</v>
      </c>
      <c r="O32" s="2"/>
    </row>
    <row r="33" spans="1:15" ht="15.75" customHeight="1" x14ac:dyDescent="0.15">
      <c r="A33" s="2" t="s">
        <v>2002</v>
      </c>
      <c r="B33" s="2" t="s">
        <v>2015</v>
      </c>
      <c r="C33" s="2" t="str">
        <f t="shared" si="0"/>
        <v>prefix</v>
      </c>
      <c r="D33" s="2" t="s">
        <v>2009</v>
      </c>
      <c r="E33" s="2" t="str">
        <f t="shared" si="1"/>
        <v>What is the root word of the inflected word \"mag-aral\"?</v>
      </c>
      <c r="F33" s="2" t="str">
        <f t="shared" si="2"/>
        <v>Ano ang salitang-ugat ng nilapiang salita na \"mag-aral\"?</v>
      </c>
      <c r="G33" s="2" t="str">
        <f t="shared" si="3"/>
        <v>aral</v>
      </c>
      <c r="H33" s="19" t="s">
        <v>2694</v>
      </c>
      <c r="I33" s="2" t="s">
        <v>167</v>
      </c>
      <c r="J33" s="2" t="s">
        <v>168</v>
      </c>
      <c r="K33" s="2" t="s">
        <v>169</v>
      </c>
      <c r="L33" s="2"/>
      <c r="M33" s="2" t="s">
        <v>52</v>
      </c>
      <c r="N33" s="2" t="s">
        <v>165</v>
      </c>
      <c r="O33" s="2"/>
    </row>
    <row r="34" spans="1:15" ht="15.75" customHeight="1" x14ac:dyDescent="0.15">
      <c r="A34" s="2" t="s">
        <v>2002</v>
      </c>
      <c r="B34" s="2" t="s">
        <v>2015</v>
      </c>
      <c r="C34" s="2" t="str">
        <f t="shared" si="0"/>
        <v>prefix</v>
      </c>
      <c r="D34" s="2" t="s">
        <v>2009</v>
      </c>
      <c r="E34" s="2" t="str">
        <f t="shared" si="1"/>
        <v>What is the root word of the inflected word \"nagbasketbol\"?</v>
      </c>
      <c r="F34" s="2" t="str">
        <f t="shared" si="2"/>
        <v>Ano ang salitang-ugat ng nilapiang salita na \"nagbasketbol\"?</v>
      </c>
      <c r="G34" s="2" t="str">
        <f t="shared" si="3"/>
        <v>basketbol</v>
      </c>
      <c r="H34" s="19" t="s">
        <v>2695</v>
      </c>
      <c r="I34" s="2" t="s">
        <v>170</v>
      </c>
      <c r="J34" s="2" t="s">
        <v>171</v>
      </c>
      <c r="K34" s="2" t="s">
        <v>172</v>
      </c>
      <c r="L34" s="2"/>
      <c r="M34" s="2" t="s">
        <v>52</v>
      </c>
      <c r="N34" s="2" t="s">
        <v>165</v>
      </c>
      <c r="O34" s="2"/>
    </row>
    <row r="35" spans="1:15" ht="15.75" customHeight="1" x14ac:dyDescent="0.15">
      <c r="A35" s="2" t="s">
        <v>2002</v>
      </c>
      <c r="B35" s="2" t="s">
        <v>2015</v>
      </c>
      <c r="C35" s="2" t="str">
        <f t="shared" si="0"/>
        <v>prefix</v>
      </c>
      <c r="D35" s="2" t="s">
        <v>2009</v>
      </c>
      <c r="E35" s="2" t="str">
        <f t="shared" si="1"/>
        <v>What is the root word of the inflected word \"malingat\"?</v>
      </c>
      <c r="F35" s="2" t="str">
        <f t="shared" si="2"/>
        <v>Ano ang salitang-ugat ng nilapiang salita na \"malingat\"?</v>
      </c>
      <c r="G35" s="2" t="str">
        <f t="shared" si="3"/>
        <v>lingat</v>
      </c>
      <c r="H35" s="19" t="s">
        <v>2696</v>
      </c>
      <c r="I35" s="2" t="s">
        <v>173</v>
      </c>
      <c r="J35" s="2" t="s">
        <v>174</v>
      </c>
      <c r="K35" s="2" t="s">
        <v>140</v>
      </c>
      <c r="L35" s="2"/>
      <c r="M35" s="2" t="s">
        <v>52</v>
      </c>
      <c r="N35" s="2" t="s">
        <v>165</v>
      </c>
      <c r="O35" s="2"/>
    </row>
    <row r="36" spans="1:15" ht="15.75" customHeight="1" x14ac:dyDescent="0.15">
      <c r="A36" s="2" t="s">
        <v>2002</v>
      </c>
      <c r="B36" s="2" t="s">
        <v>2015</v>
      </c>
      <c r="C36" s="2" t="str">
        <f t="shared" si="0"/>
        <v>prefix</v>
      </c>
      <c r="D36" s="2" t="s">
        <v>2009</v>
      </c>
      <c r="E36" s="2" t="str">
        <f t="shared" si="1"/>
        <v>What is the root word of the inflected word \"inayos\"?</v>
      </c>
      <c r="F36" s="2" t="str">
        <f t="shared" si="2"/>
        <v>Ano ang salitang-ugat ng nilapiang salita na \"inayos\"?</v>
      </c>
      <c r="G36" s="2" t="str">
        <f t="shared" si="3"/>
        <v>ayos</v>
      </c>
      <c r="H36" s="19" t="s">
        <v>2697</v>
      </c>
      <c r="I36" s="2" t="s">
        <v>175</v>
      </c>
      <c r="J36" s="2" t="s">
        <v>176</v>
      </c>
      <c r="K36" s="2" t="s">
        <v>177</v>
      </c>
      <c r="L36" s="2"/>
      <c r="M36" s="2" t="s">
        <v>52</v>
      </c>
      <c r="N36" s="2" t="s">
        <v>165</v>
      </c>
      <c r="O36" s="2"/>
    </row>
    <row r="37" spans="1:15" ht="15.75" customHeight="1" x14ac:dyDescent="0.15">
      <c r="A37" s="2" t="s">
        <v>2002</v>
      </c>
      <c r="B37" s="2" t="s">
        <v>2015</v>
      </c>
      <c r="C37" s="2" t="str">
        <f t="shared" si="0"/>
        <v>prefix</v>
      </c>
      <c r="D37" s="2" t="s">
        <v>2009</v>
      </c>
      <c r="E37" s="2" t="str">
        <f t="shared" si="1"/>
        <v>What is the root word of the inflected word \"ipaghanda\"?</v>
      </c>
      <c r="F37" s="2" t="str">
        <f t="shared" si="2"/>
        <v>Ano ang salitang-ugat ng nilapiang salita na \"ipaghanda\"?</v>
      </c>
      <c r="G37" s="2" t="str">
        <f t="shared" si="3"/>
        <v>handa</v>
      </c>
      <c r="H37" s="19" t="s">
        <v>2698</v>
      </c>
      <c r="I37" s="2" t="s">
        <v>178</v>
      </c>
      <c r="J37" s="2" t="s">
        <v>179</v>
      </c>
      <c r="K37" s="2" t="s">
        <v>180</v>
      </c>
      <c r="L37" s="2"/>
      <c r="M37" s="2" t="s">
        <v>52</v>
      </c>
      <c r="N37" s="2" t="s">
        <v>165</v>
      </c>
      <c r="O37" s="2"/>
    </row>
    <row r="38" spans="1:15" ht="15.75" customHeight="1" x14ac:dyDescent="0.15">
      <c r="A38" s="2" t="s">
        <v>2002</v>
      </c>
      <c r="B38" s="2" t="s">
        <v>2015</v>
      </c>
      <c r="C38" s="2" t="str">
        <f t="shared" si="0"/>
        <v>prefix</v>
      </c>
      <c r="D38" s="2" t="s">
        <v>2009</v>
      </c>
      <c r="E38" s="2" t="str">
        <f t="shared" si="1"/>
        <v>What is the root word of the inflected word \"ikabahala\"?</v>
      </c>
      <c r="F38" s="2" t="str">
        <f t="shared" si="2"/>
        <v>Ano ang salitang-ugat ng nilapiang salita na \"ikabahala\"?</v>
      </c>
      <c r="G38" s="2" t="str">
        <f t="shared" si="3"/>
        <v>bahala</v>
      </c>
      <c r="H38" s="19" t="s">
        <v>2699</v>
      </c>
      <c r="I38" s="2" t="s">
        <v>181</v>
      </c>
      <c r="J38" s="2" t="s">
        <v>182</v>
      </c>
      <c r="K38" s="2" t="s">
        <v>183</v>
      </c>
      <c r="L38" s="2"/>
      <c r="M38" s="2" t="s">
        <v>52</v>
      </c>
      <c r="N38" s="2" t="s">
        <v>165</v>
      </c>
      <c r="O38" s="2"/>
    </row>
    <row r="39" spans="1:15" ht="15.75" customHeight="1" x14ac:dyDescent="0.15">
      <c r="A39" s="2" t="s">
        <v>2002</v>
      </c>
      <c r="B39" s="2" t="s">
        <v>2015</v>
      </c>
      <c r="C39" s="2" t="str">
        <f t="shared" si="0"/>
        <v>prefix</v>
      </c>
      <c r="D39" s="2" t="s">
        <v>2009</v>
      </c>
      <c r="E39" s="2" t="str">
        <f t="shared" si="1"/>
        <v>What is the root word of the inflected word \"nakalimot\"?</v>
      </c>
      <c r="F39" s="2" t="str">
        <f t="shared" si="2"/>
        <v>Ano ang salitang-ugat ng nilapiang salita na \"nakalimot\"?</v>
      </c>
      <c r="G39" s="2" t="str">
        <f t="shared" si="3"/>
        <v>kalimot</v>
      </c>
      <c r="H39" s="19" t="s">
        <v>2700</v>
      </c>
      <c r="I39" s="2" t="s">
        <v>184</v>
      </c>
      <c r="J39" s="2" t="s">
        <v>185</v>
      </c>
      <c r="K39" s="2" t="s">
        <v>155</v>
      </c>
      <c r="L39" s="2"/>
      <c r="M39" s="2" t="s">
        <v>52</v>
      </c>
      <c r="N39" s="2" t="s">
        <v>165</v>
      </c>
      <c r="O39" s="2"/>
    </row>
    <row r="40" spans="1:15" ht="15.75" customHeight="1" x14ac:dyDescent="0.15">
      <c r="A40" s="2" t="s">
        <v>2002</v>
      </c>
      <c r="B40" s="2" t="s">
        <v>2015</v>
      </c>
      <c r="C40" s="2" t="str">
        <f t="shared" si="0"/>
        <v>prefix</v>
      </c>
      <c r="D40" s="2" t="s">
        <v>2009</v>
      </c>
      <c r="E40" s="2" t="str">
        <f t="shared" si="1"/>
        <v>What is the root word of the inflected word \"makiligo\"?</v>
      </c>
      <c r="F40" s="2" t="str">
        <f t="shared" si="2"/>
        <v>Ano ang salitang-ugat ng nilapiang salita na \"makiligo\"?</v>
      </c>
      <c r="G40" s="2" t="str">
        <f t="shared" si="3"/>
        <v>ligo</v>
      </c>
      <c r="H40" s="19" t="s">
        <v>2701</v>
      </c>
      <c r="I40" s="2" t="s">
        <v>186</v>
      </c>
      <c r="J40" s="2" t="s">
        <v>187</v>
      </c>
      <c r="K40" s="2" t="s">
        <v>188</v>
      </c>
      <c r="L40" s="2"/>
      <c r="M40" s="2" t="s">
        <v>52</v>
      </c>
      <c r="N40" s="2" t="s">
        <v>165</v>
      </c>
      <c r="O40" s="2"/>
    </row>
    <row r="41" spans="1:15" ht="15.75" customHeight="1" x14ac:dyDescent="0.15">
      <c r="A41" s="2" t="s">
        <v>2002</v>
      </c>
      <c r="B41" s="2" t="s">
        <v>2015</v>
      </c>
      <c r="C41" s="2" t="str">
        <f t="shared" si="0"/>
        <v>prefix</v>
      </c>
      <c r="D41" s="2" t="s">
        <v>2009</v>
      </c>
      <c r="E41" s="2" t="str">
        <f t="shared" si="1"/>
        <v>What is the root word of the inflected word \"nakikanta\"?</v>
      </c>
      <c r="F41" s="2" t="str">
        <f t="shared" si="2"/>
        <v>Ano ang salitang-ugat ng nilapiang salita na \"nakikanta\"?</v>
      </c>
      <c r="G41" s="2" t="str">
        <f t="shared" si="3"/>
        <v>kanta</v>
      </c>
      <c r="H41" s="19" t="s">
        <v>2702</v>
      </c>
      <c r="I41" s="2" t="s">
        <v>189</v>
      </c>
      <c r="J41" s="2" t="s">
        <v>190</v>
      </c>
      <c r="K41" s="2" t="s">
        <v>191</v>
      </c>
      <c r="L41" s="2"/>
      <c r="M41" s="2" t="s">
        <v>52</v>
      </c>
      <c r="N41" s="2" t="s">
        <v>165</v>
      </c>
      <c r="O41" s="2"/>
    </row>
    <row r="42" spans="1:15" ht="15.75" customHeight="1" x14ac:dyDescent="0.15">
      <c r="A42" s="2" t="s">
        <v>2002</v>
      </c>
      <c r="B42" s="2" t="s">
        <v>2015</v>
      </c>
      <c r="C42" s="2" t="str">
        <f t="shared" si="0"/>
        <v>prefix</v>
      </c>
      <c r="D42" s="2" t="s">
        <v>2009</v>
      </c>
      <c r="E42" s="2" t="str">
        <f t="shared" si="1"/>
        <v>What is the root word of the inflected word \"makabili\"?</v>
      </c>
      <c r="F42" s="2" t="str">
        <f t="shared" si="2"/>
        <v>Ano ang salitang-ugat ng nilapiang salita na \"makabili\"?</v>
      </c>
      <c r="G42" s="2" t="str">
        <f t="shared" si="3"/>
        <v>bili</v>
      </c>
      <c r="H42" s="19" t="s">
        <v>2703</v>
      </c>
      <c r="I42" s="2" t="s">
        <v>192</v>
      </c>
      <c r="J42" s="2" t="s">
        <v>193</v>
      </c>
      <c r="K42" s="2" t="s">
        <v>150</v>
      </c>
      <c r="L42" s="2"/>
      <c r="M42" s="2" t="s">
        <v>52</v>
      </c>
      <c r="N42" s="2" t="s">
        <v>165</v>
      </c>
      <c r="O42" s="2"/>
    </row>
    <row r="43" spans="1:15" ht="15.75" customHeight="1" x14ac:dyDescent="0.15">
      <c r="A43" s="2" t="s">
        <v>2002</v>
      </c>
      <c r="B43" s="2" t="s">
        <v>2015</v>
      </c>
      <c r="C43" s="2" t="str">
        <f t="shared" si="0"/>
        <v>prefix</v>
      </c>
      <c r="D43" s="2" t="s">
        <v>2009</v>
      </c>
      <c r="E43" s="2" t="str">
        <f t="shared" si="1"/>
        <v>What is the root word of the inflected word \"nakasagot\"?</v>
      </c>
      <c r="F43" s="2" t="str">
        <f t="shared" si="2"/>
        <v>Ano ang salitang-ugat ng nilapiang salita na \"nakasagot\"?</v>
      </c>
      <c r="G43" s="2" t="str">
        <f t="shared" si="3"/>
        <v>sagot</v>
      </c>
      <c r="H43" s="19" t="s">
        <v>2704</v>
      </c>
      <c r="I43" s="2" t="s">
        <v>194</v>
      </c>
      <c r="J43" s="2" t="s">
        <v>195</v>
      </c>
      <c r="K43" s="2" t="s">
        <v>196</v>
      </c>
      <c r="L43" s="2"/>
      <c r="M43" s="2" t="s">
        <v>52</v>
      </c>
      <c r="N43" s="2" t="s">
        <v>165</v>
      </c>
      <c r="O43" s="2"/>
    </row>
    <row r="44" spans="1:15" ht="15.75" customHeight="1" x14ac:dyDescent="0.15">
      <c r="A44" s="2" t="s">
        <v>2002</v>
      </c>
      <c r="B44" s="2" t="s">
        <v>2015</v>
      </c>
      <c r="C44" s="2" t="str">
        <f t="shared" si="0"/>
        <v>prefix</v>
      </c>
      <c r="D44" s="2" t="s">
        <v>2009</v>
      </c>
      <c r="E44" s="2" t="str">
        <f t="shared" si="1"/>
        <v>What is the root word of the inflected word \"makapagluto\"?</v>
      </c>
      <c r="F44" s="2" t="str">
        <f t="shared" si="2"/>
        <v>Ano ang salitang-ugat ng nilapiang salita na \"makapagluto\"?</v>
      </c>
      <c r="G44" s="2" t="str">
        <f t="shared" si="3"/>
        <v>luto</v>
      </c>
      <c r="H44" s="19" t="s">
        <v>2705</v>
      </c>
      <c r="I44" s="2" t="s">
        <v>197</v>
      </c>
      <c r="J44" s="2" t="s">
        <v>198</v>
      </c>
      <c r="K44" s="2" t="s">
        <v>199</v>
      </c>
      <c r="L44" s="2"/>
      <c r="M44" s="2" t="s">
        <v>52</v>
      </c>
      <c r="N44" s="2" t="s">
        <v>165</v>
      </c>
      <c r="O44" s="2"/>
    </row>
    <row r="45" spans="1:15" ht="15.75" customHeight="1" x14ac:dyDescent="0.15">
      <c r="A45" s="2" t="s">
        <v>2002</v>
      </c>
      <c r="B45" s="2" t="s">
        <v>2015</v>
      </c>
      <c r="C45" s="2" t="str">
        <f t="shared" si="0"/>
        <v>prefix</v>
      </c>
      <c r="D45" s="2" t="s">
        <v>2009</v>
      </c>
      <c r="E45" s="2" t="str">
        <f t="shared" si="1"/>
        <v>What is the root word of the inflected word \"nakapaghugas\"?</v>
      </c>
      <c r="F45" s="2" t="str">
        <f t="shared" si="2"/>
        <v>Ano ang salitang-ugat ng nilapiang salita na \"nakapaghugas\"?</v>
      </c>
      <c r="G45" s="2" t="str">
        <f t="shared" si="3"/>
        <v>hugas</v>
      </c>
      <c r="H45" s="19" t="s">
        <v>2706</v>
      </c>
      <c r="I45" s="2" t="s">
        <v>200</v>
      </c>
      <c r="J45" s="2" t="s">
        <v>201</v>
      </c>
      <c r="K45" s="2" t="s">
        <v>202</v>
      </c>
      <c r="L45" s="2"/>
      <c r="M45" s="2" t="s">
        <v>52</v>
      </c>
      <c r="N45" s="2" t="s">
        <v>165</v>
      </c>
      <c r="O45" s="2"/>
    </row>
    <row r="46" spans="1:15" ht="15.75" customHeight="1" x14ac:dyDescent="0.15">
      <c r="A46" s="2" t="s">
        <v>2002</v>
      </c>
      <c r="B46" s="2" t="s">
        <v>2015</v>
      </c>
      <c r="C46" s="2" t="str">
        <f t="shared" si="0"/>
        <v>prefix</v>
      </c>
      <c r="D46" s="2" t="s">
        <v>2009</v>
      </c>
      <c r="E46" s="2" t="str">
        <f t="shared" si="1"/>
        <v>What is the root word of the inflected word \"magpalibre\"?</v>
      </c>
      <c r="F46" s="2" t="str">
        <f t="shared" si="2"/>
        <v>Ano ang salitang-ugat ng nilapiang salita na \"magpalibre\"?</v>
      </c>
      <c r="G46" s="2" t="str">
        <f t="shared" si="3"/>
        <v>libre</v>
      </c>
      <c r="H46" s="19" t="s">
        <v>2707</v>
      </c>
      <c r="I46" s="2" t="s">
        <v>203</v>
      </c>
      <c r="J46" s="2" t="s">
        <v>204</v>
      </c>
      <c r="K46" s="2" t="s">
        <v>205</v>
      </c>
      <c r="L46" s="2"/>
      <c r="M46" s="2" t="s">
        <v>52</v>
      </c>
      <c r="N46" s="2" t="s">
        <v>165</v>
      </c>
      <c r="O46" s="2"/>
    </row>
    <row r="47" spans="1:15" ht="15.75" customHeight="1" x14ac:dyDescent="0.15">
      <c r="A47" s="2" t="s">
        <v>2002</v>
      </c>
      <c r="B47" s="2" t="s">
        <v>2015</v>
      </c>
      <c r="C47" s="2" t="str">
        <f t="shared" si="0"/>
        <v>prefix</v>
      </c>
      <c r="D47" s="2" t="s">
        <v>2009</v>
      </c>
      <c r="E47" s="2" t="str">
        <f t="shared" si="1"/>
        <v>What is the root word of the inflected word \"ipalagay\"?</v>
      </c>
      <c r="F47" s="2" t="str">
        <f t="shared" si="2"/>
        <v>Ano ang salitang-ugat ng nilapiang salita na \"ipalagay\"?</v>
      </c>
      <c r="G47" s="2" t="str">
        <f t="shared" si="3"/>
        <v>lagay</v>
      </c>
      <c r="H47" s="19" t="s">
        <v>2708</v>
      </c>
      <c r="I47" s="2" t="s">
        <v>206</v>
      </c>
      <c r="J47" s="2" t="s">
        <v>207</v>
      </c>
      <c r="K47" s="2" t="s">
        <v>208</v>
      </c>
      <c r="L47" s="2"/>
      <c r="M47" s="2" t="s">
        <v>52</v>
      </c>
      <c r="N47" s="2" t="s">
        <v>165</v>
      </c>
      <c r="O47" s="2"/>
    </row>
    <row r="48" spans="1:15" ht="15.75" customHeight="1" x14ac:dyDescent="0.15">
      <c r="A48" s="2" t="s">
        <v>2002</v>
      </c>
      <c r="B48" s="2" t="s">
        <v>2015</v>
      </c>
      <c r="C48" s="2" t="str">
        <f t="shared" si="0"/>
        <v>prefix</v>
      </c>
      <c r="D48" s="2" t="s">
        <v>2009</v>
      </c>
      <c r="E48" s="2" t="str">
        <f t="shared" si="1"/>
        <v>What is the root word of the inflected word \"ipagpalinis\"?</v>
      </c>
      <c r="F48" s="2" t="str">
        <f t="shared" si="2"/>
        <v>Ano ang salitang-ugat ng nilapiang salita na \"ipagpalinis\"?</v>
      </c>
      <c r="G48" s="2" t="str">
        <f t="shared" si="3"/>
        <v>linis</v>
      </c>
      <c r="H48" s="19" t="s">
        <v>2709</v>
      </c>
      <c r="I48" s="2" t="s">
        <v>209</v>
      </c>
      <c r="J48" s="2" t="s">
        <v>210</v>
      </c>
      <c r="K48" s="2" t="s">
        <v>211</v>
      </c>
      <c r="L48" s="2"/>
      <c r="M48" s="2" t="s">
        <v>52</v>
      </c>
      <c r="N48" s="2" t="s">
        <v>165</v>
      </c>
      <c r="O48" s="2"/>
    </row>
    <row r="49" spans="1:15" ht="15.75" customHeight="1" x14ac:dyDescent="0.15">
      <c r="A49" s="2" t="s">
        <v>2002</v>
      </c>
      <c r="B49" s="2" t="s">
        <v>2015</v>
      </c>
      <c r="C49" s="2" t="str">
        <f t="shared" si="0"/>
        <v>prefix</v>
      </c>
      <c r="D49" s="2" t="s">
        <v>2009</v>
      </c>
      <c r="E49" s="2" t="str">
        <f t="shared" si="1"/>
        <v>What is the root word of the inflected word \"magkaanak\"?</v>
      </c>
      <c r="F49" s="2" t="str">
        <f t="shared" si="2"/>
        <v>Ano ang salitang-ugat ng nilapiang salita na \"magkaanak\"?</v>
      </c>
      <c r="G49" s="2" t="str">
        <f t="shared" si="3"/>
        <v>anak</v>
      </c>
      <c r="H49" s="19" t="s">
        <v>2710</v>
      </c>
      <c r="I49" s="2" t="s">
        <v>212</v>
      </c>
      <c r="J49" s="2" t="s">
        <v>213</v>
      </c>
      <c r="K49" s="2" t="s">
        <v>214</v>
      </c>
      <c r="L49" s="2"/>
      <c r="M49" s="2" t="s">
        <v>52</v>
      </c>
      <c r="N49" s="2" t="s">
        <v>165</v>
      </c>
      <c r="O49" s="2"/>
    </row>
    <row r="50" spans="1:15" ht="15.75" customHeight="1" x14ac:dyDescent="0.15">
      <c r="A50" s="2" t="s">
        <v>2002</v>
      </c>
      <c r="B50" s="2" t="s">
        <v>2015</v>
      </c>
      <c r="C50" s="2" t="str">
        <f t="shared" si="0"/>
        <v>prefix</v>
      </c>
      <c r="D50" s="2" t="s">
        <v>2009</v>
      </c>
      <c r="E50" s="2" t="str">
        <f t="shared" si="1"/>
        <v>What is the root word of the inflected word \"magpakatanga\"?</v>
      </c>
      <c r="F50" s="2" t="str">
        <f t="shared" si="2"/>
        <v>Ano ang salitang-ugat ng nilapiang salita na \"magpakatanga\"?</v>
      </c>
      <c r="G50" s="2" t="str">
        <f t="shared" si="3"/>
        <v>tanga</v>
      </c>
      <c r="H50" s="19" t="s">
        <v>2711</v>
      </c>
      <c r="I50" s="2" t="s">
        <v>215</v>
      </c>
      <c r="J50" s="2" t="s">
        <v>216</v>
      </c>
      <c r="K50" s="2" t="s">
        <v>217</v>
      </c>
      <c r="L50" s="2"/>
      <c r="M50" s="2" t="s">
        <v>52</v>
      </c>
      <c r="N50" s="2" t="s">
        <v>165</v>
      </c>
      <c r="O50" s="2"/>
    </row>
    <row r="51" spans="1:15" ht="15.75" customHeight="1" x14ac:dyDescent="0.15">
      <c r="A51" s="2" t="s">
        <v>2002</v>
      </c>
      <c r="B51" s="2" t="s">
        <v>2015</v>
      </c>
      <c r="C51" s="2" t="str">
        <f t="shared" si="0"/>
        <v>prefix</v>
      </c>
      <c r="D51" s="2" t="s">
        <v>2009</v>
      </c>
      <c r="E51" s="2" t="str">
        <f t="shared" si="1"/>
        <v>What is the root word of the inflected word \"napatawa\"?</v>
      </c>
      <c r="F51" s="2" t="str">
        <f t="shared" si="2"/>
        <v>Ano ang salitang-ugat ng nilapiang salita na \"napatawa\"?</v>
      </c>
      <c r="G51" s="2" t="str">
        <f t="shared" si="3"/>
        <v>tawa</v>
      </c>
      <c r="H51" s="19" t="s">
        <v>2712</v>
      </c>
      <c r="I51" s="2" t="s">
        <v>218</v>
      </c>
      <c r="J51" s="2" t="s">
        <v>219</v>
      </c>
      <c r="K51" s="2" t="s">
        <v>220</v>
      </c>
      <c r="L51" s="2"/>
      <c r="M51" s="2" t="s">
        <v>52</v>
      </c>
      <c r="N51" s="2" t="s">
        <v>165</v>
      </c>
      <c r="O51" s="2"/>
    </row>
    <row r="52" spans="1:15" ht="15.75" customHeight="1" x14ac:dyDescent="0.15">
      <c r="A52" s="2" t="s">
        <v>2002</v>
      </c>
      <c r="B52" s="2" t="s">
        <v>2015</v>
      </c>
      <c r="C52" s="2" t="str">
        <f t="shared" si="0"/>
        <v>suffix</v>
      </c>
      <c r="D52" s="2" t="s">
        <v>2008</v>
      </c>
      <c r="E52" s="2" t="str">
        <f t="shared" si="1"/>
        <v>What is the root word of the inflected word \"tawaran\"?</v>
      </c>
      <c r="F52" s="2" t="str">
        <f t="shared" si="2"/>
        <v>Ano ang salitang-ugat ng nilapiang salita na \"tawaran\"?</v>
      </c>
      <c r="G52" s="2" t="str">
        <f t="shared" si="3"/>
        <v>tawad</v>
      </c>
      <c r="H52" s="19" t="s">
        <v>2713</v>
      </c>
      <c r="I52" s="2" t="s">
        <v>221</v>
      </c>
      <c r="J52" s="2" t="s">
        <v>222</v>
      </c>
      <c r="K52" s="2" t="s">
        <v>223</v>
      </c>
      <c r="L52" s="2"/>
      <c r="M52" s="2" t="s">
        <v>76</v>
      </c>
      <c r="N52" s="2" t="s">
        <v>224</v>
      </c>
    </row>
    <row r="53" spans="1:15" ht="15.75" customHeight="1" x14ac:dyDescent="0.15">
      <c r="A53" s="2" t="s">
        <v>2002</v>
      </c>
      <c r="B53" s="2" t="s">
        <v>2015</v>
      </c>
      <c r="C53" s="2" t="str">
        <f t="shared" si="0"/>
        <v>suffix</v>
      </c>
      <c r="D53" s="2" t="s">
        <v>2008</v>
      </c>
      <c r="E53" s="2" t="str">
        <f t="shared" si="1"/>
        <v>What is the root word of the inflected word \"laparan\"?</v>
      </c>
      <c r="F53" s="2" t="str">
        <f t="shared" si="2"/>
        <v>Ano ang salitang-ugat ng nilapiang salita na \"laparan\"?</v>
      </c>
      <c r="G53" s="2" t="str">
        <f t="shared" si="3"/>
        <v>lapad</v>
      </c>
      <c r="H53" s="19" t="s">
        <v>2714</v>
      </c>
      <c r="I53" s="2" t="s">
        <v>225</v>
      </c>
      <c r="J53" s="2" t="s">
        <v>226</v>
      </c>
      <c r="K53" s="2" t="s">
        <v>223</v>
      </c>
      <c r="L53" s="2"/>
      <c r="M53" s="2" t="s">
        <v>76</v>
      </c>
      <c r="N53" s="2" t="s">
        <v>224</v>
      </c>
    </row>
    <row r="54" spans="1:15" ht="15.75" customHeight="1" x14ac:dyDescent="0.15">
      <c r="A54" s="2" t="s">
        <v>2002</v>
      </c>
      <c r="B54" s="2" t="s">
        <v>2015</v>
      </c>
      <c r="C54" s="2" t="str">
        <f t="shared" si="0"/>
        <v>suffix</v>
      </c>
      <c r="D54" s="2" t="s">
        <v>2008</v>
      </c>
      <c r="E54" s="2" t="str">
        <f t="shared" si="1"/>
        <v>What is the root word of the inflected word \"tawirin\"?</v>
      </c>
      <c r="F54" s="2" t="str">
        <f t="shared" si="2"/>
        <v>Ano ang salitang-ugat ng nilapiang salita na \"tawirin\"?</v>
      </c>
      <c r="G54" s="2" t="str">
        <f t="shared" si="3"/>
        <v>tawid</v>
      </c>
      <c r="H54" s="19" t="s">
        <v>2715</v>
      </c>
      <c r="I54" s="2" t="s">
        <v>227</v>
      </c>
      <c r="J54" s="2" t="s">
        <v>228</v>
      </c>
      <c r="K54" s="2" t="s">
        <v>229</v>
      </c>
      <c r="L54" s="2"/>
      <c r="M54" s="2" t="s">
        <v>76</v>
      </c>
      <c r="N54" s="2" t="s">
        <v>224</v>
      </c>
    </row>
    <row r="55" spans="1:15" ht="15.75" customHeight="1" x14ac:dyDescent="0.15">
      <c r="A55" s="2" t="s">
        <v>2002</v>
      </c>
      <c r="B55" s="2" t="s">
        <v>2015</v>
      </c>
      <c r="C55" s="2" t="str">
        <f t="shared" si="0"/>
        <v>suffix</v>
      </c>
      <c r="D55" s="2" t="s">
        <v>2008</v>
      </c>
      <c r="E55" s="2" t="str">
        <f t="shared" si="1"/>
        <v>What is the root word of the inflected word \"liparin\"?</v>
      </c>
      <c r="F55" s="2" t="str">
        <f t="shared" si="2"/>
        <v>Ano ang salitang-ugat ng nilapiang salita na \"liparin\"?</v>
      </c>
      <c r="G55" s="2" t="str">
        <f t="shared" si="3"/>
        <v>lipad</v>
      </c>
      <c r="H55" s="19" t="s">
        <v>2716</v>
      </c>
      <c r="I55" s="2" t="s">
        <v>230</v>
      </c>
      <c r="J55" s="2" t="s">
        <v>231</v>
      </c>
      <c r="K55" s="2" t="s">
        <v>229</v>
      </c>
      <c r="L55" s="2"/>
      <c r="M55" s="2" t="s">
        <v>76</v>
      </c>
      <c r="N55" s="2" t="s">
        <v>224</v>
      </c>
    </row>
    <row r="56" spans="1:15" ht="15.75" customHeight="1" x14ac:dyDescent="0.15">
      <c r="A56" s="2" t="s">
        <v>2002</v>
      </c>
      <c r="B56" s="2" t="s">
        <v>2015</v>
      </c>
      <c r="C56" s="2" t="str">
        <f t="shared" si="0"/>
        <v>suffix</v>
      </c>
      <c r="D56" s="2" t="s">
        <v>2008</v>
      </c>
      <c r="E56" s="2" t="str">
        <f t="shared" si="1"/>
        <v>What is the root word of the inflected word \"hangarin\"?</v>
      </c>
      <c r="F56" s="2" t="str">
        <f t="shared" si="2"/>
        <v>Ano ang salitang-ugat ng nilapiang salita na \"hangarin\"?</v>
      </c>
      <c r="G56" s="2" t="str">
        <f t="shared" si="3"/>
        <v>hangad</v>
      </c>
      <c r="H56" s="19" t="s">
        <v>2717</v>
      </c>
      <c r="I56" s="2" t="s">
        <v>232</v>
      </c>
      <c r="J56" s="2" t="s">
        <v>233</v>
      </c>
      <c r="K56" s="2" t="s">
        <v>229</v>
      </c>
      <c r="L56" s="2"/>
      <c r="M56" s="2" t="s">
        <v>76</v>
      </c>
      <c r="N56" s="2" t="s">
        <v>224</v>
      </c>
    </row>
    <row r="57" spans="1:15" ht="15.75" customHeight="1" x14ac:dyDescent="0.15">
      <c r="A57" s="2" t="s">
        <v>2002</v>
      </c>
      <c r="B57" s="2" t="s">
        <v>2015</v>
      </c>
      <c r="C57" s="2" t="str">
        <f t="shared" si="0"/>
        <v>suffix</v>
      </c>
      <c r="D57" s="2" t="s">
        <v>2008</v>
      </c>
      <c r="E57" s="2" t="str">
        <f t="shared" si="1"/>
        <v>What is the root word of the inflected word \"palarin\"?</v>
      </c>
      <c r="F57" s="2" t="str">
        <f t="shared" si="2"/>
        <v>Ano ang salitang-ugat ng nilapiang salita na \"palarin\"?</v>
      </c>
      <c r="G57" s="2" t="str">
        <f t="shared" si="3"/>
        <v>palad</v>
      </c>
      <c r="H57" s="19" t="s">
        <v>2718</v>
      </c>
      <c r="I57" s="2" t="s">
        <v>234</v>
      </c>
      <c r="J57" s="2" t="s">
        <v>235</v>
      </c>
      <c r="K57" s="2" t="s">
        <v>229</v>
      </c>
      <c r="L57" s="2"/>
      <c r="M57" s="2" t="s">
        <v>76</v>
      </c>
      <c r="N57" s="2" t="s">
        <v>224</v>
      </c>
    </row>
    <row r="58" spans="1:15" ht="15.75" customHeight="1" x14ac:dyDescent="0.15">
      <c r="A58" s="2" t="s">
        <v>2002</v>
      </c>
      <c r="B58" s="2" t="s">
        <v>2015</v>
      </c>
      <c r="C58" s="2" t="str">
        <f t="shared" si="0"/>
        <v>suffix</v>
      </c>
      <c r="D58" s="2" t="s">
        <v>2008</v>
      </c>
      <c r="E58" s="2" t="str">
        <f t="shared" si="1"/>
        <v>What is the root word of the inflected word \"pusuan\"?</v>
      </c>
      <c r="F58" s="2" t="str">
        <f t="shared" si="2"/>
        <v>Ano ang salitang-ugat ng nilapiang salita na \"pusuan\"?</v>
      </c>
      <c r="G58" s="2" t="str">
        <f t="shared" si="3"/>
        <v>puso</v>
      </c>
      <c r="H58" s="19" t="s">
        <v>2719</v>
      </c>
      <c r="I58" s="2" t="s">
        <v>236</v>
      </c>
      <c r="J58" s="2" t="s">
        <v>237</v>
      </c>
      <c r="K58" s="2" t="s">
        <v>223</v>
      </c>
      <c r="L58" s="2"/>
      <c r="M58" s="2" t="s">
        <v>76</v>
      </c>
      <c r="N58" s="2" t="s">
        <v>224</v>
      </c>
    </row>
    <row r="59" spans="1:15" ht="15.75" customHeight="1" x14ac:dyDescent="0.15">
      <c r="A59" s="2" t="s">
        <v>2002</v>
      </c>
      <c r="B59" s="2" t="s">
        <v>2015</v>
      </c>
      <c r="C59" s="2" t="str">
        <f t="shared" si="0"/>
        <v>suffix</v>
      </c>
      <c r="D59" s="2" t="s">
        <v>2008</v>
      </c>
      <c r="E59" s="2" t="str">
        <f t="shared" si="1"/>
        <v>What is the root word of the inflected word \"bulungan\"?</v>
      </c>
      <c r="F59" s="2" t="str">
        <f t="shared" si="2"/>
        <v>Ano ang salitang-ugat ng nilapiang salita na \"bulungan\"?</v>
      </c>
      <c r="G59" s="2" t="str">
        <f t="shared" si="3"/>
        <v>bulong</v>
      </c>
      <c r="H59" s="19" t="s">
        <v>2720</v>
      </c>
      <c r="I59" s="2" t="s">
        <v>238</v>
      </c>
      <c r="J59" s="2" t="s">
        <v>239</v>
      </c>
      <c r="K59" s="2" t="s">
        <v>223</v>
      </c>
      <c r="L59" s="2"/>
      <c r="M59" s="2" t="s">
        <v>76</v>
      </c>
      <c r="N59" s="2" t="s">
        <v>224</v>
      </c>
    </row>
    <row r="60" spans="1:15" ht="15.75" customHeight="1" x14ac:dyDescent="0.15">
      <c r="A60" s="2" t="s">
        <v>2002</v>
      </c>
      <c r="B60" s="2" t="s">
        <v>2015</v>
      </c>
      <c r="C60" s="2" t="str">
        <f t="shared" si="0"/>
        <v>suffix</v>
      </c>
      <c r="D60" s="2" t="s">
        <v>2008</v>
      </c>
      <c r="E60" s="2" t="str">
        <f t="shared" si="1"/>
        <v>What is the root word of the inflected word \"busugin\"?</v>
      </c>
      <c r="F60" s="2" t="str">
        <f t="shared" si="2"/>
        <v>Ano ang salitang-ugat ng nilapiang salita na \"busugin\"?</v>
      </c>
      <c r="G60" s="2" t="str">
        <f t="shared" si="3"/>
        <v>busog</v>
      </c>
      <c r="H60" s="19" t="s">
        <v>2721</v>
      </c>
      <c r="I60" s="2" t="s">
        <v>240</v>
      </c>
      <c r="J60" s="2" t="s">
        <v>241</v>
      </c>
      <c r="K60" s="2" t="s">
        <v>229</v>
      </c>
      <c r="L60" s="2"/>
      <c r="M60" s="2" t="s">
        <v>76</v>
      </c>
      <c r="N60" s="2" t="s">
        <v>224</v>
      </c>
    </row>
    <row r="61" spans="1:15" ht="15.75" customHeight="1" x14ac:dyDescent="0.15">
      <c r="A61" s="2" t="s">
        <v>2002</v>
      </c>
      <c r="B61" s="2" t="s">
        <v>2015</v>
      </c>
      <c r="C61" s="2" t="str">
        <f t="shared" si="0"/>
        <v>suffix</v>
      </c>
      <c r="D61" s="2" t="s">
        <v>2008</v>
      </c>
      <c r="E61" s="2" t="str">
        <f t="shared" si="1"/>
        <v>What is the root word of the inflected word \"tukuyin\"?</v>
      </c>
      <c r="F61" s="2" t="str">
        <f t="shared" si="2"/>
        <v>Ano ang salitang-ugat ng nilapiang salita na \"tukuyin\"?</v>
      </c>
      <c r="G61" s="2" t="str">
        <f t="shared" si="3"/>
        <v>tukoy</v>
      </c>
      <c r="H61" s="19" t="s">
        <v>2722</v>
      </c>
      <c r="I61" s="2" t="s">
        <v>242</v>
      </c>
      <c r="J61" s="2" t="s">
        <v>243</v>
      </c>
      <c r="K61" s="2" t="s">
        <v>229</v>
      </c>
      <c r="L61" s="2"/>
      <c r="M61" s="2" t="s">
        <v>76</v>
      </c>
      <c r="N61" s="2" t="s">
        <v>224</v>
      </c>
    </row>
    <row r="62" spans="1:15" ht="15.75" customHeight="1" x14ac:dyDescent="0.15">
      <c r="A62" s="2" t="s">
        <v>2002</v>
      </c>
      <c r="B62" s="2" t="s">
        <v>2015</v>
      </c>
      <c r="C62" s="2" t="str">
        <f t="shared" si="0"/>
        <v>suffix</v>
      </c>
      <c r="D62" s="2" t="s">
        <v>2008</v>
      </c>
      <c r="E62" s="2" t="str">
        <f t="shared" si="1"/>
        <v>What is the root word of the inflected word \"tubusin\"?</v>
      </c>
      <c r="F62" s="2" t="str">
        <f t="shared" si="2"/>
        <v>Ano ang salitang-ugat ng nilapiang salita na \"tubusin\"?</v>
      </c>
      <c r="G62" s="2" t="str">
        <f t="shared" si="3"/>
        <v>tubos</v>
      </c>
      <c r="H62" s="19" t="s">
        <v>2723</v>
      </c>
      <c r="I62" s="2" t="s">
        <v>244</v>
      </c>
      <c r="J62" s="2" t="s">
        <v>245</v>
      </c>
      <c r="K62" s="2" t="s">
        <v>229</v>
      </c>
      <c r="L62" s="2"/>
      <c r="M62" s="2" t="s">
        <v>76</v>
      </c>
      <c r="N62" s="2" t="s">
        <v>224</v>
      </c>
    </row>
    <row r="63" spans="1:15" ht="15.75" customHeight="1" x14ac:dyDescent="0.15">
      <c r="A63" s="2" t="s">
        <v>2002</v>
      </c>
      <c r="B63" s="2" t="s">
        <v>2015</v>
      </c>
      <c r="C63" s="2" t="str">
        <f t="shared" si="0"/>
        <v>suffix</v>
      </c>
      <c r="D63" s="2" t="s">
        <v>2008</v>
      </c>
      <c r="E63" s="2" t="str">
        <f t="shared" si="1"/>
        <v>What is the root word of the inflected word \"putukan\"?</v>
      </c>
      <c r="F63" s="2" t="str">
        <f t="shared" si="2"/>
        <v>Ano ang salitang-ugat ng nilapiang salita na \"putukan\"?</v>
      </c>
      <c r="G63" s="2" t="str">
        <f t="shared" si="3"/>
        <v>putok</v>
      </c>
      <c r="H63" s="19" t="s">
        <v>2724</v>
      </c>
      <c r="I63" s="2" t="s">
        <v>246</v>
      </c>
      <c r="J63" s="2" t="s">
        <v>247</v>
      </c>
      <c r="K63" s="2" t="s">
        <v>223</v>
      </c>
      <c r="L63" s="2"/>
      <c r="M63" s="2" t="s">
        <v>76</v>
      </c>
      <c r="N63" s="2" t="s">
        <v>224</v>
      </c>
    </row>
    <row r="64" spans="1:15" ht="15.75" customHeight="1" x14ac:dyDescent="0.15">
      <c r="A64" s="2" t="s">
        <v>2002</v>
      </c>
      <c r="B64" s="2" t="s">
        <v>2015</v>
      </c>
      <c r="C64" s="2" t="str">
        <f t="shared" si="0"/>
        <v>suffix</v>
      </c>
      <c r="D64" s="2" t="s">
        <v>2008</v>
      </c>
      <c r="E64" s="2" t="str">
        <f t="shared" si="1"/>
        <v>What is the root word of the inflected word \"sabugan\"?</v>
      </c>
      <c r="F64" s="2" t="str">
        <f t="shared" si="2"/>
        <v>Ano ang salitang-ugat ng nilapiang salita na \"sabugan\"?</v>
      </c>
      <c r="G64" s="2" t="str">
        <f t="shared" si="3"/>
        <v>sabog</v>
      </c>
      <c r="H64" s="19" t="s">
        <v>2725</v>
      </c>
      <c r="I64" s="2" t="s">
        <v>248</v>
      </c>
      <c r="J64" s="2" t="s">
        <v>249</v>
      </c>
      <c r="K64" s="2" t="s">
        <v>223</v>
      </c>
      <c r="L64" s="2"/>
      <c r="M64" s="2" t="s">
        <v>76</v>
      </c>
      <c r="N64" s="2" t="s">
        <v>224</v>
      </c>
    </row>
    <row r="65" spans="1:14" ht="15.75" customHeight="1" x14ac:dyDescent="0.15">
      <c r="A65" s="2" t="s">
        <v>2002</v>
      </c>
      <c r="B65" s="2" t="s">
        <v>2015</v>
      </c>
      <c r="C65" s="2" t="str">
        <f t="shared" si="0"/>
        <v>suffix</v>
      </c>
      <c r="D65" s="2" t="s">
        <v>2008</v>
      </c>
      <c r="E65" s="2" t="str">
        <f t="shared" si="1"/>
        <v>What is the root word of the inflected word \"batuhin\"?</v>
      </c>
      <c r="F65" s="2" t="str">
        <f t="shared" si="2"/>
        <v>Ano ang salitang-ugat ng nilapiang salita na \"batuhin\"?</v>
      </c>
      <c r="G65" s="2" t="str">
        <f t="shared" si="3"/>
        <v>bato</v>
      </c>
      <c r="H65" s="19" t="s">
        <v>2726</v>
      </c>
      <c r="I65" s="2" t="s">
        <v>250</v>
      </c>
      <c r="J65" s="2" t="s">
        <v>251</v>
      </c>
      <c r="K65" s="2" t="s">
        <v>252</v>
      </c>
      <c r="L65" s="2" t="s">
        <v>229</v>
      </c>
      <c r="M65" s="2" t="s">
        <v>76</v>
      </c>
      <c r="N65" s="2" t="s">
        <v>224</v>
      </c>
    </row>
    <row r="66" spans="1:14" ht="15.75" customHeight="1" x14ac:dyDescent="0.15">
      <c r="A66" s="2" t="s">
        <v>2002</v>
      </c>
      <c r="B66" s="2" t="s">
        <v>2015</v>
      </c>
      <c r="C66" s="2" t="str">
        <f t="shared" si="0"/>
        <v>suffix</v>
      </c>
      <c r="D66" s="2" t="s">
        <v>2008</v>
      </c>
      <c r="E66" s="2" t="str">
        <f t="shared" si="1"/>
        <v>What is the root word of the inflected word \"sikuhin\"?</v>
      </c>
      <c r="F66" s="2" t="str">
        <f t="shared" si="2"/>
        <v>Ano ang salitang-ugat ng nilapiang salita na \"sikuhin\"?</v>
      </c>
      <c r="G66" s="2" t="str">
        <f t="shared" si="3"/>
        <v>siko</v>
      </c>
      <c r="H66" s="19" t="s">
        <v>2727</v>
      </c>
      <c r="I66" s="2" t="s">
        <v>253</v>
      </c>
      <c r="J66" s="2" t="s">
        <v>127</v>
      </c>
      <c r="K66" s="2" t="s">
        <v>252</v>
      </c>
      <c r="L66" s="2" t="s">
        <v>229</v>
      </c>
      <c r="M66" s="2" t="s">
        <v>76</v>
      </c>
      <c r="N66" s="2" t="s">
        <v>224</v>
      </c>
    </row>
    <row r="67" spans="1:14" ht="15.75" customHeight="1" x14ac:dyDescent="0.15">
      <c r="A67" s="2" t="s">
        <v>2002</v>
      </c>
      <c r="B67" s="2" t="s">
        <v>2015</v>
      </c>
      <c r="C67" s="2" t="str">
        <f t="shared" si="0"/>
        <v>suffix</v>
      </c>
      <c r="D67" s="2" t="s">
        <v>2008</v>
      </c>
      <c r="E67" s="2" t="str">
        <f t="shared" si="1"/>
        <v>What is the root word of the inflected word \"puruhan\"?</v>
      </c>
      <c r="F67" s="2" t="str">
        <f t="shared" si="2"/>
        <v>Ano ang salitang-ugat ng nilapiang salita na \"puruhan\"?</v>
      </c>
      <c r="G67" s="2" t="str">
        <f t="shared" si="3"/>
        <v>puro</v>
      </c>
      <c r="H67" s="19" t="s">
        <v>2728</v>
      </c>
      <c r="I67" s="2" t="s">
        <v>254</v>
      </c>
      <c r="J67" s="2" t="s">
        <v>255</v>
      </c>
      <c r="K67" s="2" t="s">
        <v>256</v>
      </c>
      <c r="L67" s="2" t="s">
        <v>223</v>
      </c>
      <c r="M67" s="2" t="s">
        <v>76</v>
      </c>
      <c r="N67" s="2" t="s">
        <v>224</v>
      </c>
    </row>
    <row r="68" spans="1:14" ht="13" x14ac:dyDescent="0.15">
      <c r="A68" s="2" t="s">
        <v>2002</v>
      </c>
      <c r="B68" s="2" t="s">
        <v>2015</v>
      </c>
      <c r="C68" s="2" t="str">
        <f t="shared" si="0"/>
        <v>suffix</v>
      </c>
      <c r="D68" s="2" t="s">
        <v>2008</v>
      </c>
      <c r="E68" s="2" t="str">
        <f t="shared" si="1"/>
        <v>What is the root word of the inflected word \"baguhin\"?</v>
      </c>
      <c r="F68" s="2" t="str">
        <f t="shared" si="2"/>
        <v>Ano ang salitang-ugat ng nilapiang salita na \"baguhin\"?</v>
      </c>
      <c r="G68" s="2" t="str">
        <f t="shared" si="3"/>
        <v>bago</v>
      </c>
      <c r="H68" s="19" t="s">
        <v>2729</v>
      </c>
      <c r="I68" s="2" t="s">
        <v>257</v>
      </c>
      <c r="J68" s="2" t="s">
        <v>258</v>
      </c>
      <c r="K68" s="2" t="s">
        <v>252</v>
      </c>
      <c r="L68" s="2" t="s">
        <v>229</v>
      </c>
      <c r="M68" s="2" t="s">
        <v>76</v>
      </c>
      <c r="N68" s="2" t="s">
        <v>224</v>
      </c>
    </row>
    <row r="69" spans="1:14" ht="13" x14ac:dyDescent="0.15">
      <c r="A69" s="2" t="s">
        <v>2002</v>
      </c>
      <c r="B69" s="2" t="s">
        <v>2015</v>
      </c>
      <c r="C69" s="2" t="str">
        <f t="shared" si="0"/>
        <v>suffix</v>
      </c>
      <c r="D69" s="2" t="s">
        <v>2008</v>
      </c>
      <c r="E69" s="2" t="str">
        <f t="shared" si="1"/>
        <v>What is the root word of the inflected word \"uluhan\"?</v>
      </c>
      <c r="F69" s="2" t="str">
        <f t="shared" si="2"/>
        <v>Ano ang salitang-ugat ng nilapiang salita na \"uluhan\"?</v>
      </c>
      <c r="G69" s="2" t="str">
        <f t="shared" si="3"/>
        <v>ulo</v>
      </c>
      <c r="H69" s="19" t="s">
        <v>2730</v>
      </c>
      <c r="I69" s="2" t="s">
        <v>259</v>
      </c>
      <c r="J69" s="2" t="s">
        <v>260</v>
      </c>
      <c r="K69" s="2" t="s">
        <v>256</v>
      </c>
      <c r="L69" s="2" t="s">
        <v>223</v>
      </c>
      <c r="M69" s="2" t="s">
        <v>76</v>
      </c>
      <c r="N69" s="2" t="s">
        <v>224</v>
      </c>
    </row>
    <row r="70" spans="1:14" ht="13" x14ac:dyDescent="0.15">
      <c r="A70" s="2" t="s">
        <v>2002</v>
      </c>
      <c r="B70" s="2" t="s">
        <v>2015</v>
      </c>
      <c r="C70" s="2" t="str">
        <f t="shared" si="0"/>
        <v>suffix</v>
      </c>
      <c r="D70" s="2" t="s">
        <v>2008</v>
      </c>
      <c r="E70" s="2" t="str">
        <f t="shared" si="1"/>
        <v>What is the root word of the inflected word \"guluhin\"?</v>
      </c>
      <c r="F70" s="2" t="str">
        <f t="shared" si="2"/>
        <v>Ano ang salitang-ugat ng nilapiang salita na \"guluhin\"?</v>
      </c>
      <c r="G70" s="2" t="str">
        <f t="shared" si="3"/>
        <v>gulo</v>
      </c>
      <c r="H70" s="19" t="s">
        <v>2731</v>
      </c>
      <c r="I70" s="2" t="s">
        <v>261</v>
      </c>
      <c r="J70" s="2" t="s">
        <v>262</v>
      </c>
      <c r="K70" s="2" t="s">
        <v>252</v>
      </c>
      <c r="L70" s="2" t="s">
        <v>229</v>
      </c>
      <c r="M70" s="2" t="s">
        <v>76</v>
      </c>
      <c r="N70" s="2" t="s">
        <v>224</v>
      </c>
    </row>
    <row r="71" spans="1:14" ht="13" x14ac:dyDescent="0.15">
      <c r="A71" s="2" t="s">
        <v>2002</v>
      </c>
      <c r="B71" s="2" t="s">
        <v>2015</v>
      </c>
      <c r="C71" s="2" t="str">
        <f t="shared" si="0"/>
        <v>suffix</v>
      </c>
      <c r="D71" s="2" t="s">
        <v>2008</v>
      </c>
      <c r="E71" s="2" t="str">
        <f t="shared" si="1"/>
        <v>What is the root word of the inflected word \"tawanan\"?</v>
      </c>
      <c r="F71" s="2" t="str">
        <f t="shared" si="2"/>
        <v>Ano ang salitang-ugat ng nilapiang salita na \"tawanan\"?</v>
      </c>
      <c r="G71" s="2" t="str">
        <f t="shared" si="3"/>
        <v>tawa</v>
      </c>
      <c r="H71" s="19" t="s">
        <v>2732</v>
      </c>
      <c r="I71" s="2" t="s">
        <v>263</v>
      </c>
      <c r="J71" s="2" t="s">
        <v>219</v>
      </c>
      <c r="K71" s="2" t="s">
        <v>256</v>
      </c>
      <c r="L71" s="2" t="s">
        <v>223</v>
      </c>
      <c r="M71" s="2" t="s">
        <v>76</v>
      </c>
      <c r="N71" s="2" t="s">
        <v>224</v>
      </c>
    </row>
    <row r="72" spans="1:14" ht="13" x14ac:dyDescent="0.15">
      <c r="A72" s="2" t="s">
        <v>2002</v>
      </c>
      <c r="B72" s="2" t="s">
        <v>2015</v>
      </c>
      <c r="C72" s="2" t="str">
        <f t="shared" si="0"/>
        <v>suffix</v>
      </c>
      <c r="D72" s="2" t="s">
        <v>2010</v>
      </c>
      <c r="E72" s="2" t="str">
        <f t="shared" si="1"/>
        <v>What is the root word of the inflected word \"takpan\"?</v>
      </c>
      <c r="F72" s="2" t="str">
        <f t="shared" si="2"/>
        <v>Ano ang salitang-ugat ng nilapiang salita na \"takpan\"?</v>
      </c>
      <c r="G72" s="2" t="str">
        <f t="shared" si="3"/>
        <v>takip</v>
      </c>
      <c r="H72" s="19" t="s">
        <v>2733</v>
      </c>
      <c r="I72" s="2" t="s">
        <v>264</v>
      </c>
      <c r="J72" s="2" t="s">
        <v>265</v>
      </c>
      <c r="K72" s="2" t="s">
        <v>223</v>
      </c>
      <c r="L72" s="2"/>
      <c r="M72" s="2" t="s">
        <v>76</v>
      </c>
      <c r="N72" s="2" t="s">
        <v>266</v>
      </c>
    </row>
    <row r="73" spans="1:14" ht="13" x14ac:dyDescent="0.15">
      <c r="A73" s="2" t="s">
        <v>2002</v>
      </c>
      <c r="B73" s="2" t="s">
        <v>2015</v>
      </c>
      <c r="C73" s="2" t="str">
        <f t="shared" si="0"/>
        <v>suffix</v>
      </c>
      <c r="D73" s="2" t="s">
        <v>2010</v>
      </c>
      <c r="E73" s="2" t="str">
        <f t="shared" si="1"/>
        <v>What is the root word of the inflected word \"saktan\"?</v>
      </c>
      <c r="F73" s="2" t="str">
        <f t="shared" si="2"/>
        <v>Ano ang salitang-ugat ng nilapiang salita na \"saktan\"?</v>
      </c>
      <c r="G73" s="2" t="str">
        <f t="shared" si="3"/>
        <v>sakit</v>
      </c>
      <c r="H73" s="19" t="s">
        <v>2734</v>
      </c>
      <c r="I73" s="2" t="s">
        <v>267</v>
      </c>
      <c r="J73" s="2" t="s">
        <v>137</v>
      </c>
      <c r="K73" s="2" t="s">
        <v>223</v>
      </c>
      <c r="L73" s="2"/>
      <c r="M73" s="2" t="s">
        <v>76</v>
      </c>
      <c r="N73" s="2" t="s">
        <v>266</v>
      </c>
    </row>
    <row r="74" spans="1:14" ht="13" x14ac:dyDescent="0.15">
      <c r="A74" s="2" t="s">
        <v>2002</v>
      </c>
      <c r="B74" s="2" t="s">
        <v>2015</v>
      </c>
      <c r="C74" s="2" t="str">
        <f t="shared" si="0"/>
        <v>suffix</v>
      </c>
      <c r="D74" s="2" t="s">
        <v>2010</v>
      </c>
      <c r="E74" s="2" t="str">
        <f t="shared" si="1"/>
        <v>What is the root word of the inflected word \"buksan\"?</v>
      </c>
      <c r="F74" s="2" t="str">
        <f t="shared" si="2"/>
        <v>Ano ang salitang-ugat ng nilapiang salita na \"buksan\"?</v>
      </c>
      <c r="G74" s="2" t="str">
        <f t="shared" si="3"/>
        <v>bukas</v>
      </c>
      <c r="H74" s="19" t="s">
        <v>2735</v>
      </c>
      <c r="I74" s="2" t="s">
        <v>268</v>
      </c>
      <c r="J74" s="2" t="s">
        <v>269</v>
      </c>
      <c r="K74" s="2" t="s">
        <v>223</v>
      </c>
      <c r="L74" s="2"/>
      <c r="M74" s="2" t="s">
        <v>76</v>
      </c>
      <c r="N74" s="2" t="s">
        <v>266</v>
      </c>
    </row>
    <row r="75" spans="1:14" ht="13" x14ac:dyDescent="0.15">
      <c r="A75" s="2" t="s">
        <v>2002</v>
      </c>
      <c r="B75" s="2" t="s">
        <v>2015</v>
      </c>
      <c r="C75" s="2" t="str">
        <f t="shared" si="0"/>
        <v>suffix</v>
      </c>
      <c r="D75" s="2" t="s">
        <v>2010</v>
      </c>
      <c r="E75" s="2" t="str">
        <f t="shared" si="1"/>
        <v>What is the root word of the inflected word \"sundin\"?</v>
      </c>
      <c r="F75" s="2" t="str">
        <f t="shared" si="2"/>
        <v>Ano ang salitang-ugat ng nilapiang salita na \"sundin\"?</v>
      </c>
      <c r="G75" s="2" t="str">
        <f t="shared" si="3"/>
        <v>sunod</v>
      </c>
      <c r="H75" s="19" t="s">
        <v>2736</v>
      </c>
      <c r="I75" s="2" t="s">
        <v>270</v>
      </c>
      <c r="J75" s="2" t="s">
        <v>271</v>
      </c>
      <c r="K75" s="2" t="s">
        <v>229</v>
      </c>
      <c r="L75" s="2"/>
      <c r="M75" s="2" t="s">
        <v>76</v>
      </c>
      <c r="N75" s="2" t="s">
        <v>266</v>
      </c>
    </row>
    <row r="76" spans="1:14" ht="13" x14ac:dyDescent="0.15">
      <c r="A76" s="2" t="s">
        <v>2002</v>
      </c>
      <c r="B76" s="2" t="s">
        <v>2015</v>
      </c>
      <c r="C76" s="2" t="str">
        <f t="shared" si="0"/>
        <v>suffix</v>
      </c>
      <c r="D76" s="2" t="s">
        <v>2010</v>
      </c>
      <c r="E76" s="2" t="str">
        <f t="shared" si="1"/>
        <v>What is the root word of the inflected word \"tupdin\"?</v>
      </c>
      <c r="F76" s="2" t="str">
        <f t="shared" si="2"/>
        <v>Ano ang salitang-ugat ng nilapiang salita na \"tupdin\"?</v>
      </c>
      <c r="G76" s="2" t="str">
        <f t="shared" si="3"/>
        <v>tupad</v>
      </c>
      <c r="H76" s="19" t="s">
        <v>2737</v>
      </c>
      <c r="I76" s="2" t="s">
        <v>272</v>
      </c>
      <c r="J76" s="2" t="s">
        <v>273</v>
      </c>
      <c r="K76" s="2" t="s">
        <v>229</v>
      </c>
      <c r="L76" s="2"/>
      <c r="M76" s="2" t="s">
        <v>76</v>
      </c>
      <c r="N76" s="2" t="s">
        <v>266</v>
      </c>
    </row>
    <row r="77" spans="1:14" ht="13" x14ac:dyDescent="0.15">
      <c r="A77" s="2" t="s">
        <v>2002</v>
      </c>
      <c r="B77" s="2" t="s">
        <v>2015</v>
      </c>
      <c r="C77" s="2" t="str">
        <f t="shared" si="0"/>
        <v>suffix</v>
      </c>
      <c r="D77" s="2" t="s">
        <v>2010</v>
      </c>
      <c r="E77" s="2" t="str">
        <f t="shared" si="1"/>
        <v>What is the root word of the inflected word \"bigyan\"?</v>
      </c>
      <c r="F77" s="2" t="str">
        <f t="shared" si="2"/>
        <v>Ano ang salitang-ugat ng nilapiang salita na \"bigyan\"?</v>
      </c>
      <c r="G77" s="2" t="str">
        <f t="shared" si="3"/>
        <v>bigay</v>
      </c>
      <c r="H77" s="19" t="s">
        <v>2738</v>
      </c>
      <c r="I77" s="2" t="s">
        <v>274</v>
      </c>
      <c r="J77" s="2" t="s">
        <v>133</v>
      </c>
      <c r="K77" s="2" t="s">
        <v>223</v>
      </c>
      <c r="L77" s="2"/>
      <c r="M77" s="2" t="s">
        <v>76</v>
      </c>
      <c r="N77" s="2" t="s">
        <v>266</v>
      </c>
    </row>
    <row r="78" spans="1:14" ht="13" x14ac:dyDescent="0.15">
      <c r="A78" s="2" t="s">
        <v>2002</v>
      </c>
      <c r="B78" s="2" t="s">
        <v>2015</v>
      </c>
      <c r="C78" s="2" t="str">
        <f t="shared" si="0"/>
        <v>suffix</v>
      </c>
      <c r="D78" s="2" t="s">
        <v>2010</v>
      </c>
      <c r="E78" s="2" t="str">
        <f t="shared" si="1"/>
        <v>What is the root word of the inflected word \"dinggin\"?</v>
      </c>
      <c r="F78" s="2" t="str">
        <f t="shared" si="2"/>
        <v>Ano ang salitang-ugat ng nilapiang salita na \"dinggin\"?</v>
      </c>
      <c r="G78" s="2" t="str">
        <f t="shared" si="3"/>
        <v>dinig</v>
      </c>
      <c r="H78" s="19" t="s">
        <v>2739</v>
      </c>
      <c r="I78" s="2" t="s">
        <v>275</v>
      </c>
      <c r="J78" s="2" t="s">
        <v>276</v>
      </c>
      <c r="K78" s="2" t="s">
        <v>229</v>
      </c>
      <c r="L78" s="2"/>
      <c r="M78" s="2" t="s">
        <v>76</v>
      </c>
      <c r="N78" s="2" t="s">
        <v>266</v>
      </c>
    </row>
    <row r="79" spans="1:14" ht="13" x14ac:dyDescent="0.15">
      <c r="A79" s="2" t="s">
        <v>2002</v>
      </c>
      <c r="B79" s="2" t="s">
        <v>2015</v>
      </c>
      <c r="C79" s="2" t="str">
        <f t="shared" si="0"/>
        <v>suffix</v>
      </c>
      <c r="D79" s="2" t="s">
        <v>2010</v>
      </c>
      <c r="E79" s="2" t="str">
        <f t="shared" si="1"/>
        <v>What is the root word of the inflected word \"lagyan\"?</v>
      </c>
      <c r="F79" s="2" t="str">
        <f t="shared" si="2"/>
        <v>Ano ang salitang-ugat ng nilapiang salita na \"lagyan\"?</v>
      </c>
      <c r="G79" s="2" t="str">
        <f t="shared" si="3"/>
        <v>lagay</v>
      </c>
      <c r="H79" s="19" t="s">
        <v>2740</v>
      </c>
      <c r="I79" s="2" t="s">
        <v>277</v>
      </c>
      <c r="J79" s="2" t="s">
        <v>207</v>
      </c>
      <c r="K79" s="2" t="s">
        <v>223</v>
      </c>
      <c r="L79" s="2"/>
      <c r="M79" s="2" t="s">
        <v>76</v>
      </c>
      <c r="N79" s="2" t="s">
        <v>266</v>
      </c>
    </row>
    <row r="80" spans="1:14" ht="13" x14ac:dyDescent="0.15">
      <c r="A80" s="2" t="s">
        <v>2002</v>
      </c>
      <c r="B80" s="2" t="s">
        <v>2015</v>
      </c>
      <c r="C80" s="2" t="str">
        <f t="shared" si="0"/>
        <v>suffix</v>
      </c>
      <c r="D80" s="2" t="s">
        <v>2010</v>
      </c>
      <c r="E80" s="2" t="str">
        <f t="shared" si="1"/>
        <v>What is the root word of the inflected word \"tikman\"?</v>
      </c>
      <c r="F80" s="2" t="str">
        <f t="shared" si="2"/>
        <v>Ano ang salitang-ugat ng nilapiang salita na \"tikman\"?</v>
      </c>
      <c r="G80" s="2" t="str">
        <f t="shared" si="3"/>
        <v>tikim</v>
      </c>
      <c r="H80" s="19" t="s">
        <v>2741</v>
      </c>
      <c r="I80" s="2" t="s">
        <v>278</v>
      </c>
      <c r="J80" s="2" t="s">
        <v>279</v>
      </c>
      <c r="K80" s="2" t="s">
        <v>223</v>
      </c>
      <c r="L80" s="2"/>
      <c r="M80" s="2" t="s">
        <v>76</v>
      </c>
      <c r="N80" s="2" t="s">
        <v>266</v>
      </c>
    </row>
    <row r="81" spans="1:15" ht="13" x14ac:dyDescent="0.15">
      <c r="A81" s="2" t="s">
        <v>2002</v>
      </c>
      <c r="B81" s="2" t="s">
        <v>2015</v>
      </c>
      <c r="C81" s="2" t="str">
        <f t="shared" si="0"/>
        <v>suffix</v>
      </c>
      <c r="D81" s="2" t="s">
        <v>2010</v>
      </c>
      <c r="E81" s="2" t="str">
        <f t="shared" si="1"/>
        <v>What is the root word of the inflected word \"bilhin\"?</v>
      </c>
      <c r="F81" s="2" t="str">
        <f t="shared" si="2"/>
        <v>Ano ang salitang-ugat ng nilapiang salita na \"bilhin\"?</v>
      </c>
      <c r="G81" s="2" t="str">
        <f t="shared" si="3"/>
        <v>bili</v>
      </c>
      <c r="H81" s="19" t="s">
        <v>2742</v>
      </c>
      <c r="I81" s="2" t="s">
        <v>280</v>
      </c>
      <c r="J81" s="2" t="s">
        <v>193</v>
      </c>
      <c r="K81" s="2" t="s">
        <v>252</v>
      </c>
      <c r="L81" s="2" t="s">
        <v>229</v>
      </c>
      <c r="M81" s="2" t="s">
        <v>76</v>
      </c>
      <c r="N81" s="2" t="s">
        <v>266</v>
      </c>
    </row>
    <row r="82" spans="1:15" ht="15" x14ac:dyDescent="0.2">
      <c r="A82" s="2" t="s">
        <v>2002</v>
      </c>
      <c r="B82" s="2" t="s">
        <v>2015</v>
      </c>
      <c r="C82" s="2" t="str">
        <f t="shared" si="0"/>
        <v>suffix</v>
      </c>
      <c r="D82" s="11" t="s">
        <v>2009</v>
      </c>
      <c r="E82" s="2" t="str">
        <f t="shared" si="1"/>
        <v>What is the root word of the inflected word \"takasan\"?</v>
      </c>
      <c r="F82" s="2" t="str">
        <f t="shared" si="2"/>
        <v>Ano ang salitang-ugat ng nilapiang salita na \"takasan\"?</v>
      </c>
      <c r="G82" s="2" t="str">
        <f t="shared" si="3"/>
        <v>takas</v>
      </c>
      <c r="H82" s="19" t="s">
        <v>2743</v>
      </c>
      <c r="I82" s="11" t="s">
        <v>281</v>
      </c>
      <c r="J82" s="11" t="s">
        <v>282</v>
      </c>
      <c r="K82" s="12" t="s">
        <v>223</v>
      </c>
      <c r="L82" s="12"/>
      <c r="M82" s="11" t="s">
        <v>76</v>
      </c>
      <c r="N82" s="2" t="s">
        <v>165</v>
      </c>
      <c r="O82" s="2"/>
    </row>
    <row r="83" spans="1:15" ht="15" x14ac:dyDescent="0.2">
      <c r="A83" s="2" t="s">
        <v>2002</v>
      </c>
      <c r="B83" s="2" t="s">
        <v>2015</v>
      </c>
      <c r="C83" s="2" t="str">
        <f t="shared" si="0"/>
        <v>suffix</v>
      </c>
      <c r="D83" s="11" t="s">
        <v>2009</v>
      </c>
      <c r="E83" s="2" t="str">
        <f t="shared" si="1"/>
        <v>What is the root word of the inflected word \"labanan\"?</v>
      </c>
      <c r="F83" s="2" t="str">
        <f t="shared" si="2"/>
        <v>Ano ang salitang-ugat ng nilapiang salita na \"labanan\"?</v>
      </c>
      <c r="G83" s="2" t="str">
        <f t="shared" si="3"/>
        <v>laban</v>
      </c>
      <c r="H83" s="19" t="s">
        <v>2744</v>
      </c>
      <c r="I83" s="11" t="s">
        <v>283</v>
      </c>
      <c r="J83" s="11" t="s">
        <v>105</v>
      </c>
      <c r="K83" s="12" t="s">
        <v>223</v>
      </c>
      <c r="L83" s="12"/>
      <c r="M83" s="11" t="s">
        <v>76</v>
      </c>
      <c r="N83" s="2" t="s">
        <v>165</v>
      </c>
      <c r="O83" s="2"/>
    </row>
    <row r="84" spans="1:15" ht="15" x14ac:dyDescent="0.2">
      <c r="A84" s="2" t="s">
        <v>2002</v>
      </c>
      <c r="B84" s="2" t="s">
        <v>2015</v>
      </c>
      <c r="C84" s="2" t="str">
        <f t="shared" si="0"/>
        <v>suffix</v>
      </c>
      <c r="D84" s="11" t="s">
        <v>2009</v>
      </c>
      <c r="E84" s="2" t="str">
        <f t="shared" si="1"/>
        <v>What is the root word of the inflected word \"sulatan\"?</v>
      </c>
      <c r="F84" s="2" t="str">
        <f t="shared" si="2"/>
        <v>Ano ang salitang-ugat ng nilapiang salita na \"sulatan\"?</v>
      </c>
      <c r="G84" s="2" t="str">
        <f t="shared" si="3"/>
        <v>sulat</v>
      </c>
      <c r="H84" s="19" t="s">
        <v>2745</v>
      </c>
      <c r="I84" s="2" t="s">
        <v>284</v>
      </c>
      <c r="J84" s="2" t="s">
        <v>285</v>
      </c>
      <c r="K84" s="13" t="s">
        <v>223</v>
      </c>
      <c r="L84" s="13"/>
      <c r="M84" s="11" t="s">
        <v>76</v>
      </c>
      <c r="N84" s="2" t="s">
        <v>165</v>
      </c>
      <c r="O84" s="2"/>
    </row>
    <row r="85" spans="1:15" ht="15" x14ac:dyDescent="0.2">
      <c r="A85" s="2" t="s">
        <v>2002</v>
      </c>
      <c r="B85" s="2" t="s">
        <v>2015</v>
      </c>
      <c r="C85" s="2" t="str">
        <f t="shared" si="0"/>
        <v>suffix</v>
      </c>
      <c r="D85" s="11" t="s">
        <v>2009</v>
      </c>
      <c r="E85" s="2" t="str">
        <f t="shared" si="1"/>
        <v>What is the root word of the inflected word \"titigan\"?</v>
      </c>
      <c r="F85" s="2" t="str">
        <f t="shared" si="2"/>
        <v>Ano ang salitang-ugat ng nilapiang salita na \"titigan\"?</v>
      </c>
      <c r="G85" s="2" t="str">
        <f t="shared" si="3"/>
        <v>titig</v>
      </c>
      <c r="H85" s="19" t="s">
        <v>2746</v>
      </c>
      <c r="I85" s="11" t="s">
        <v>286</v>
      </c>
      <c r="J85" s="11" t="s">
        <v>287</v>
      </c>
      <c r="K85" s="12" t="s">
        <v>223</v>
      </c>
      <c r="L85" s="12"/>
      <c r="M85" s="11" t="s">
        <v>76</v>
      </c>
      <c r="N85" s="2" t="s">
        <v>165</v>
      </c>
      <c r="O85" s="2"/>
    </row>
    <row r="86" spans="1:15" ht="15" x14ac:dyDescent="0.2">
      <c r="A86" s="2" t="s">
        <v>2002</v>
      </c>
      <c r="B86" s="2" t="s">
        <v>2015</v>
      </c>
      <c r="C86" s="2" t="str">
        <f t="shared" si="0"/>
        <v>suffix</v>
      </c>
      <c r="D86" s="11" t="s">
        <v>2009</v>
      </c>
      <c r="E86" s="2" t="str">
        <f t="shared" si="1"/>
        <v>What is the root word of the inflected word \"awitan\"?</v>
      </c>
      <c r="F86" s="2" t="str">
        <f t="shared" si="2"/>
        <v>Ano ang salitang-ugat ng nilapiang salita na \"awitan\"?</v>
      </c>
      <c r="G86" s="2" t="str">
        <f t="shared" si="3"/>
        <v>awit</v>
      </c>
      <c r="H86" s="19" t="s">
        <v>2747</v>
      </c>
      <c r="I86" s="11" t="s">
        <v>288</v>
      </c>
      <c r="J86" s="11" t="s">
        <v>289</v>
      </c>
      <c r="K86" s="12" t="s">
        <v>223</v>
      </c>
      <c r="L86" s="12"/>
      <c r="M86" s="11" t="s">
        <v>76</v>
      </c>
      <c r="N86" s="2" t="s">
        <v>165</v>
      </c>
      <c r="O86" s="2"/>
    </row>
    <row r="87" spans="1:15" ht="15" x14ac:dyDescent="0.2">
      <c r="A87" s="2" t="s">
        <v>2002</v>
      </c>
      <c r="B87" s="2" t="s">
        <v>2015</v>
      </c>
      <c r="C87" s="2" t="str">
        <f t="shared" si="0"/>
        <v>suffix</v>
      </c>
      <c r="D87" s="11" t="s">
        <v>2009</v>
      </c>
      <c r="E87" s="2" t="str">
        <f t="shared" si="1"/>
        <v>What is the root word of the inflected word \"asahan\"?</v>
      </c>
      <c r="F87" s="2" t="str">
        <f t="shared" si="2"/>
        <v>Ano ang salitang-ugat ng nilapiang salita na \"asahan\"?</v>
      </c>
      <c r="G87" s="2" t="str">
        <f t="shared" si="3"/>
        <v>asa</v>
      </c>
      <c r="H87" s="19" t="s">
        <v>2748</v>
      </c>
      <c r="I87" s="11" t="s">
        <v>290</v>
      </c>
      <c r="J87" s="11" t="s">
        <v>291</v>
      </c>
      <c r="K87" s="12" t="s">
        <v>256</v>
      </c>
      <c r="L87" s="12" t="s">
        <v>223</v>
      </c>
      <c r="M87" s="11" t="s">
        <v>76</v>
      </c>
      <c r="N87" s="2" t="s">
        <v>165</v>
      </c>
      <c r="O87" s="2"/>
    </row>
    <row r="88" spans="1:15" ht="15" x14ac:dyDescent="0.2">
      <c r="A88" s="2" t="s">
        <v>2002</v>
      </c>
      <c r="B88" s="2" t="s">
        <v>2015</v>
      </c>
      <c r="C88" s="2" t="str">
        <f t="shared" si="0"/>
        <v>suffix</v>
      </c>
      <c r="D88" s="11" t="s">
        <v>2009</v>
      </c>
      <c r="E88" s="2" t="str">
        <f t="shared" si="1"/>
        <v>What is the root word of the inflected word \"abonohan\"?</v>
      </c>
      <c r="F88" s="2" t="str">
        <f t="shared" si="2"/>
        <v>Ano ang salitang-ugat ng nilapiang salita na \"abonohan\"?</v>
      </c>
      <c r="G88" s="2" t="str">
        <f t="shared" si="3"/>
        <v>abono</v>
      </c>
      <c r="H88" s="19" t="s">
        <v>2749</v>
      </c>
      <c r="I88" s="2" t="s">
        <v>292</v>
      </c>
      <c r="J88" s="2" t="s">
        <v>293</v>
      </c>
      <c r="K88" s="13" t="s">
        <v>256</v>
      </c>
      <c r="L88" s="13" t="s">
        <v>223</v>
      </c>
      <c r="M88" s="11" t="s">
        <v>76</v>
      </c>
      <c r="N88" s="2" t="s">
        <v>165</v>
      </c>
      <c r="O88" s="2"/>
    </row>
    <row r="89" spans="1:15" ht="15" x14ac:dyDescent="0.2">
      <c r="A89" s="2" t="s">
        <v>2002</v>
      </c>
      <c r="B89" s="2" t="s">
        <v>2015</v>
      </c>
      <c r="C89" s="2" t="str">
        <f t="shared" si="0"/>
        <v>suffix</v>
      </c>
      <c r="D89" s="11" t="s">
        <v>2009</v>
      </c>
      <c r="E89" s="2" t="str">
        <f t="shared" si="1"/>
        <v>What is the root word of the inflected word \"suportahan\"?</v>
      </c>
      <c r="F89" s="2" t="str">
        <f t="shared" si="2"/>
        <v>Ano ang salitang-ugat ng nilapiang salita na \"suportahan\"?</v>
      </c>
      <c r="G89" s="2" t="str">
        <f t="shared" si="3"/>
        <v>suporta</v>
      </c>
      <c r="H89" s="19" t="s">
        <v>2750</v>
      </c>
      <c r="I89" s="2" t="s">
        <v>294</v>
      </c>
      <c r="J89" s="2" t="s">
        <v>295</v>
      </c>
      <c r="K89" s="13" t="s">
        <v>256</v>
      </c>
      <c r="L89" s="13" t="s">
        <v>223</v>
      </c>
      <c r="M89" s="11" t="s">
        <v>76</v>
      </c>
      <c r="N89" s="2" t="s">
        <v>165</v>
      </c>
      <c r="O89" s="2"/>
    </row>
    <row r="90" spans="1:15" ht="15" x14ac:dyDescent="0.2">
      <c r="A90" s="2" t="s">
        <v>2002</v>
      </c>
      <c r="B90" s="2" t="s">
        <v>2015</v>
      </c>
      <c r="C90" s="2" t="str">
        <f t="shared" si="0"/>
        <v>suffix</v>
      </c>
      <c r="D90" s="11" t="s">
        <v>2009</v>
      </c>
      <c r="E90" s="2" t="str">
        <f t="shared" si="1"/>
        <v>What is the root word of the inflected word \"agahan\"?</v>
      </c>
      <c r="F90" s="2" t="str">
        <f t="shared" si="2"/>
        <v>Ano ang salitang-ugat ng nilapiang salita na \"agahan\"?</v>
      </c>
      <c r="G90" s="2" t="str">
        <f t="shared" si="3"/>
        <v>aga</v>
      </c>
      <c r="H90" s="19" t="s">
        <v>2751</v>
      </c>
      <c r="I90" s="11" t="s">
        <v>296</v>
      </c>
      <c r="J90" s="11" t="s">
        <v>297</v>
      </c>
      <c r="K90" s="12" t="s">
        <v>256</v>
      </c>
      <c r="L90" s="12" t="s">
        <v>223</v>
      </c>
      <c r="M90" s="11" t="s">
        <v>76</v>
      </c>
      <c r="N90" s="2" t="s">
        <v>165</v>
      </c>
      <c r="O90" s="2"/>
    </row>
    <row r="91" spans="1:15" ht="15" x14ac:dyDescent="0.2">
      <c r="A91" s="2" t="s">
        <v>2002</v>
      </c>
      <c r="B91" s="2" t="s">
        <v>2015</v>
      </c>
      <c r="C91" s="2" t="str">
        <f t="shared" si="0"/>
        <v>suffix</v>
      </c>
      <c r="D91" s="11" t="s">
        <v>2009</v>
      </c>
      <c r="E91" s="2" t="str">
        <f t="shared" si="1"/>
        <v>What is the root word of the inflected word \"gandahan\"?</v>
      </c>
      <c r="F91" s="2" t="str">
        <f t="shared" si="2"/>
        <v>Ano ang salitang-ugat ng nilapiang salita na \"gandahan\"?</v>
      </c>
      <c r="G91" s="2" t="str">
        <f t="shared" si="3"/>
        <v>ganda</v>
      </c>
      <c r="H91" s="19" t="s">
        <v>2752</v>
      </c>
      <c r="I91" s="11" t="s">
        <v>298</v>
      </c>
      <c r="J91" s="11" t="s">
        <v>299</v>
      </c>
      <c r="K91" s="12" t="s">
        <v>256</v>
      </c>
      <c r="L91" s="12" t="s">
        <v>223</v>
      </c>
      <c r="M91" s="11" t="s">
        <v>76</v>
      </c>
      <c r="N91" s="2" t="s">
        <v>165</v>
      </c>
      <c r="O91" s="2"/>
    </row>
    <row r="92" spans="1:15" ht="15" x14ac:dyDescent="0.2">
      <c r="A92" s="2" t="s">
        <v>2002</v>
      </c>
      <c r="B92" s="2" t="s">
        <v>2015</v>
      </c>
      <c r="C92" s="2" t="str">
        <f t="shared" si="0"/>
        <v>suffix</v>
      </c>
      <c r="D92" s="11" t="s">
        <v>2009</v>
      </c>
      <c r="E92" s="2" t="str">
        <f t="shared" si="1"/>
        <v>What is the root word of the inflected word \"alisin\"?</v>
      </c>
      <c r="F92" s="2" t="str">
        <f t="shared" si="2"/>
        <v>Ano ang salitang-ugat ng nilapiang salita na \"alisin\"?</v>
      </c>
      <c r="G92" s="2" t="str">
        <f t="shared" si="3"/>
        <v>alis</v>
      </c>
      <c r="H92" s="19" t="s">
        <v>2753</v>
      </c>
      <c r="I92" s="11" t="s">
        <v>300</v>
      </c>
      <c r="J92" s="11" t="s">
        <v>301</v>
      </c>
      <c r="K92" s="12" t="s">
        <v>229</v>
      </c>
      <c r="L92" s="12"/>
      <c r="M92" s="11" t="s">
        <v>76</v>
      </c>
      <c r="N92" s="2" t="s">
        <v>165</v>
      </c>
      <c r="O92" s="2"/>
    </row>
    <row r="93" spans="1:15" ht="15" x14ac:dyDescent="0.2">
      <c r="A93" s="2" t="s">
        <v>2002</v>
      </c>
      <c r="B93" s="2" t="s">
        <v>2015</v>
      </c>
      <c r="C93" s="2" t="str">
        <f t="shared" si="0"/>
        <v>suffix</v>
      </c>
      <c r="D93" s="11" t="s">
        <v>2009</v>
      </c>
      <c r="E93" s="2" t="str">
        <f t="shared" si="1"/>
        <v>What is the root word of the inflected word \"walisin\"?</v>
      </c>
      <c r="F93" s="2" t="str">
        <f t="shared" si="2"/>
        <v>Ano ang salitang-ugat ng nilapiang salita na \"walisin\"?</v>
      </c>
      <c r="G93" s="2" t="str">
        <f t="shared" si="3"/>
        <v>walis</v>
      </c>
      <c r="H93" s="19" t="s">
        <v>2754</v>
      </c>
      <c r="I93" s="11" t="s">
        <v>302</v>
      </c>
      <c r="J93" s="11" t="s">
        <v>303</v>
      </c>
      <c r="K93" s="12" t="s">
        <v>229</v>
      </c>
      <c r="L93" s="12"/>
      <c r="M93" s="11" t="s">
        <v>76</v>
      </c>
      <c r="N93" s="2" t="s">
        <v>165</v>
      </c>
      <c r="O93" s="2"/>
    </row>
    <row r="94" spans="1:15" ht="15" x14ac:dyDescent="0.2">
      <c r="A94" s="2" t="s">
        <v>2002</v>
      </c>
      <c r="B94" s="2" t="s">
        <v>2015</v>
      </c>
      <c r="C94" s="2" t="str">
        <f t="shared" si="0"/>
        <v>suffix</v>
      </c>
      <c r="D94" s="11" t="s">
        <v>2009</v>
      </c>
      <c r="E94" s="2" t="str">
        <f t="shared" si="1"/>
        <v>What is the root word of the inflected word \"galawin\"?</v>
      </c>
      <c r="F94" s="2" t="str">
        <f t="shared" si="2"/>
        <v>Ano ang salitang-ugat ng nilapiang salita na \"galawin\"?</v>
      </c>
      <c r="G94" s="2" t="str">
        <f t="shared" si="3"/>
        <v>galaw</v>
      </c>
      <c r="H94" s="19" t="s">
        <v>2755</v>
      </c>
      <c r="I94" s="11" t="s">
        <v>304</v>
      </c>
      <c r="J94" s="11" t="s">
        <v>305</v>
      </c>
      <c r="K94" s="12" t="s">
        <v>229</v>
      </c>
      <c r="L94" s="12"/>
      <c r="M94" s="11" t="s">
        <v>76</v>
      </c>
      <c r="N94" s="2" t="s">
        <v>165</v>
      </c>
      <c r="O94" s="2"/>
    </row>
    <row r="95" spans="1:15" ht="15" x14ac:dyDescent="0.2">
      <c r="A95" s="2" t="s">
        <v>2002</v>
      </c>
      <c r="B95" s="2" t="s">
        <v>2015</v>
      </c>
      <c r="C95" s="2" t="str">
        <f t="shared" si="0"/>
        <v>suffix</v>
      </c>
      <c r="D95" s="11" t="s">
        <v>2009</v>
      </c>
      <c r="E95" s="2" t="str">
        <f t="shared" si="1"/>
        <v>What is the root word of the inflected word \"langgamin\"?</v>
      </c>
      <c r="F95" s="2" t="str">
        <f t="shared" si="2"/>
        <v>Ano ang salitang-ugat ng nilapiang salita na \"langgamin\"?</v>
      </c>
      <c r="G95" s="2" t="str">
        <f t="shared" si="3"/>
        <v>langgam</v>
      </c>
      <c r="H95" s="19" t="s">
        <v>2756</v>
      </c>
      <c r="I95" s="11" t="s">
        <v>306</v>
      </c>
      <c r="J95" s="11" t="s">
        <v>307</v>
      </c>
      <c r="K95" s="12" t="s">
        <v>229</v>
      </c>
      <c r="L95" s="12"/>
      <c r="M95" s="11" t="s">
        <v>76</v>
      </c>
      <c r="N95" s="2" t="s">
        <v>165</v>
      </c>
      <c r="O95" s="2"/>
    </row>
    <row r="96" spans="1:15" ht="15" x14ac:dyDescent="0.2">
      <c r="A96" s="2" t="s">
        <v>2002</v>
      </c>
      <c r="B96" s="2" t="s">
        <v>2015</v>
      </c>
      <c r="C96" s="2" t="str">
        <f t="shared" si="0"/>
        <v>suffix</v>
      </c>
      <c r="D96" s="11" t="s">
        <v>2009</v>
      </c>
      <c r="E96" s="2" t="str">
        <f t="shared" si="1"/>
        <v>What is the root word of the inflected word \"buhayin\"?</v>
      </c>
      <c r="F96" s="2" t="str">
        <f t="shared" si="2"/>
        <v>Ano ang salitang-ugat ng nilapiang salita na \"buhayin\"?</v>
      </c>
      <c r="G96" s="2" t="str">
        <f t="shared" si="3"/>
        <v>buhay</v>
      </c>
      <c r="H96" s="19" t="s">
        <v>2757</v>
      </c>
      <c r="I96" s="11" t="s">
        <v>308</v>
      </c>
      <c r="J96" s="11" t="s">
        <v>309</v>
      </c>
      <c r="K96" s="12" t="s">
        <v>229</v>
      </c>
      <c r="L96" s="12"/>
      <c r="M96" s="11" t="s">
        <v>76</v>
      </c>
      <c r="N96" s="2" t="s">
        <v>165</v>
      </c>
      <c r="O96" s="2"/>
    </row>
    <row r="97" spans="1:15" ht="15" x14ac:dyDescent="0.2">
      <c r="A97" s="2" t="s">
        <v>2002</v>
      </c>
      <c r="B97" s="2" t="s">
        <v>2015</v>
      </c>
      <c r="C97" s="2" t="str">
        <f t="shared" si="0"/>
        <v>suffix</v>
      </c>
      <c r="D97" s="11" t="s">
        <v>2009</v>
      </c>
      <c r="E97" s="2" t="str">
        <f t="shared" si="1"/>
        <v>What is the root word of the inflected word \"sisihin\"?</v>
      </c>
      <c r="F97" s="2" t="str">
        <f t="shared" si="2"/>
        <v>Ano ang salitang-ugat ng nilapiang salita na \"sisihin\"?</v>
      </c>
      <c r="G97" s="2" t="str">
        <f t="shared" si="3"/>
        <v>sisi</v>
      </c>
      <c r="H97" s="19" t="s">
        <v>2758</v>
      </c>
      <c r="I97" s="11" t="s">
        <v>310</v>
      </c>
      <c r="J97" s="11" t="s">
        <v>311</v>
      </c>
      <c r="K97" s="12" t="s">
        <v>252</v>
      </c>
      <c r="L97" s="12" t="s">
        <v>229</v>
      </c>
      <c r="M97" s="11" t="s">
        <v>76</v>
      </c>
      <c r="N97" s="2" t="s">
        <v>165</v>
      </c>
      <c r="O97" s="2"/>
    </row>
    <row r="98" spans="1:15" ht="15" x14ac:dyDescent="0.2">
      <c r="A98" s="2" t="s">
        <v>2002</v>
      </c>
      <c r="B98" s="2" t="s">
        <v>2015</v>
      </c>
      <c r="C98" s="2" t="str">
        <f t="shared" si="0"/>
        <v>suffix</v>
      </c>
      <c r="D98" s="11" t="s">
        <v>2009</v>
      </c>
      <c r="E98" s="2" t="str">
        <f t="shared" si="1"/>
        <v>What is the root word of the inflected word \"sabihin\"?</v>
      </c>
      <c r="F98" s="2" t="str">
        <f t="shared" si="2"/>
        <v>Ano ang salitang-ugat ng nilapiang salita na \"sabihin\"?</v>
      </c>
      <c r="G98" s="2" t="str">
        <f t="shared" si="3"/>
        <v>sabi</v>
      </c>
      <c r="H98" s="19" t="s">
        <v>2759</v>
      </c>
      <c r="I98" s="11" t="s">
        <v>312</v>
      </c>
      <c r="J98" s="11" t="s">
        <v>313</v>
      </c>
      <c r="K98" s="12" t="s">
        <v>252</v>
      </c>
      <c r="L98" s="12" t="s">
        <v>229</v>
      </c>
      <c r="M98" s="11" t="s">
        <v>76</v>
      </c>
      <c r="N98" s="2" t="s">
        <v>165</v>
      </c>
      <c r="O98" s="2"/>
    </row>
    <row r="99" spans="1:15" ht="15" x14ac:dyDescent="0.2">
      <c r="A99" s="2" t="s">
        <v>2002</v>
      </c>
      <c r="B99" s="2" t="s">
        <v>2015</v>
      </c>
      <c r="C99" s="2" t="str">
        <f t="shared" si="0"/>
        <v>suffix</v>
      </c>
      <c r="D99" s="11" t="s">
        <v>2009</v>
      </c>
      <c r="E99" s="2" t="str">
        <f t="shared" si="1"/>
        <v>What is the root word of the inflected word \"punahin\"?</v>
      </c>
      <c r="F99" s="2" t="str">
        <f t="shared" si="2"/>
        <v>Ano ang salitang-ugat ng nilapiang salita na \"punahin\"?</v>
      </c>
      <c r="G99" s="2" t="str">
        <f t="shared" si="3"/>
        <v>puna</v>
      </c>
      <c r="H99" s="19" t="s">
        <v>2760</v>
      </c>
      <c r="I99" s="11" t="s">
        <v>314</v>
      </c>
      <c r="J99" s="11" t="s">
        <v>315</v>
      </c>
      <c r="K99" s="12" t="s">
        <v>252</v>
      </c>
      <c r="L99" s="12" t="s">
        <v>229</v>
      </c>
      <c r="M99" s="11" t="s">
        <v>76</v>
      </c>
      <c r="N99" s="2" t="s">
        <v>165</v>
      </c>
      <c r="O99" s="2"/>
    </row>
    <row r="100" spans="1:15" ht="15" x14ac:dyDescent="0.2">
      <c r="A100" s="2" t="s">
        <v>2002</v>
      </c>
      <c r="B100" s="2" t="s">
        <v>2015</v>
      </c>
      <c r="C100" s="2" t="str">
        <f t="shared" si="0"/>
        <v>suffix</v>
      </c>
      <c r="D100" s="11" t="s">
        <v>2009</v>
      </c>
      <c r="E100" s="2" t="str">
        <f t="shared" si="1"/>
        <v>What is the root word of the inflected word \"tablahin\"?</v>
      </c>
      <c r="F100" s="2" t="str">
        <f t="shared" si="2"/>
        <v>Ano ang salitang-ugat ng nilapiang salita na \"tablahin\"?</v>
      </c>
      <c r="G100" s="2" t="str">
        <f t="shared" si="3"/>
        <v>tabla</v>
      </c>
      <c r="H100" s="19" t="s">
        <v>2761</v>
      </c>
      <c r="I100" s="11" t="s">
        <v>316</v>
      </c>
      <c r="J100" s="11" t="s">
        <v>317</v>
      </c>
      <c r="K100" s="12" t="s">
        <v>252</v>
      </c>
      <c r="L100" s="12" t="s">
        <v>229</v>
      </c>
      <c r="M100" s="11" t="s">
        <v>76</v>
      </c>
      <c r="N100" s="2" t="s">
        <v>165</v>
      </c>
      <c r="O100" s="2"/>
    </row>
    <row r="101" spans="1:15" ht="15" x14ac:dyDescent="0.2">
      <c r="A101" s="2" t="s">
        <v>2002</v>
      </c>
      <c r="B101" s="2" t="s">
        <v>2015</v>
      </c>
      <c r="C101" s="2" t="str">
        <f t="shared" si="0"/>
        <v>suffix</v>
      </c>
      <c r="D101" s="11" t="s">
        <v>2009</v>
      </c>
      <c r="E101" s="2" t="str">
        <f t="shared" si="1"/>
        <v>What is the root word of the inflected word \"unahin\"?</v>
      </c>
      <c r="F101" s="2" t="str">
        <f t="shared" si="2"/>
        <v>Ano ang salitang-ugat ng nilapiang salita na \"unahin\"?</v>
      </c>
      <c r="G101" s="2" t="str">
        <f t="shared" si="3"/>
        <v>una</v>
      </c>
      <c r="H101" s="19" t="s">
        <v>2762</v>
      </c>
      <c r="I101" s="11" t="s">
        <v>318</v>
      </c>
      <c r="J101" s="11" t="s">
        <v>319</v>
      </c>
      <c r="K101" s="12" t="s">
        <v>252</v>
      </c>
      <c r="L101" s="12" t="s">
        <v>229</v>
      </c>
      <c r="M101" s="11" t="s">
        <v>76</v>
      </c>
      <c r="N101" s="2" t="s">
        <v>165</v>
      </c>
      <c r="O101" s="2"/>
    </row>
    <row r="102" spans="1:15" ht="13" x14ac:dyDescent="0.15">
      <c r="A102" s="2" t="s">
        <v>2002</v>
      </c>
      <c r="B102" s="2" t="s">
        <v>2015</v>
      </c>
      <c r="C102" s="2" t="str">
        <f t="shared" si="0"/>
        <v>infix</v>
      </c>
      <c r="D102" s="2" t="s">
        <v>2011</v>
      </c>
      <c r="E102" s="2" t="str">
        <f t="shared" si="1"/>
        <v>What is the root word of the inflected word \"nilipad\"?</v>
      </c>
      <c r="F102" s="2" t="str">
        <f t="shared" si="2"/>
        <v>Ano ang salitang-ugat ng nilapiang salita na \"nilipad\"?</v>
      </c>
      <c r="G102" s="2" t="str">
        <f t="shared" si="3"/>
        <v>lipad</v>
      </c>
      <c r="H102" s="19" t="s">
        <v>2763</v>
      </c>
      <c r="I102" s="2" t="s">
        <v>320</v>
      </c>
      <c r="J102" s="2" t="s">
        <v>231</v>
      </c>
      <c r="K102" s="2" t="s">
        <v>321</v>
      </c>
      <c r="L102" s="2"/>
      <c r="M102" s="2" t="s">
        <v>71</v>
      </c>
      <c r="N102" s="2" t="s">
        <v>322</v>
      </c>
    </row>
    <row r="103" spans="1:15" ht="13" x14ac:dyDescent="0.15">
      <c r="A103" s="2" t="s">
        <v>2002</v>
      </c>
      <c r="B103" s="2" t="s">
        <v>2015</v>
      </c>
      <c r="C103" s="2" t="str">
        <f t="shared" si="0"/>
        <v>infix</v>
      </c>
      <c r="D103" s="2" t="s">
        <v>2011</v>
      </c>
      <c r="E103" s="2" t="str">
        <f t="shared" si="1"/>
        <v>What is the root word of the inflected word \"nilangaw\"?</v>
      </c>
      <c r="F103" s="2" t="str">
        <f t="shared" si="2"/>
        <v>Ano ang salitang-ugat ng nilapiang salita na \"nilangaw\"?</v>
      </c>
      <c r="G103" s="2" t="str">
        <f t="shared" si="3"/>
        <v>langaw</v>
      </c>
      <c r="H103" s="19" t="s">
        <v>2764</v>
      </c>
      <c r="I103" s="2" t="s">
        <v>323</v>
      </c>
      <c r="J103" s="2" t="s">
        <v>324</v>
      </c>
      <c r="K103" s="2" t="s">
        <v>321</v>
      </c>
      <c r="L103" s="2"/>
      <c r="M103" s="2" t="s">
        <v>71</v>
      </c>
      <c r="N103" s="2" t="s">
        <v>322</v>
      </c>
    </row>
    <row r="104" spans="1:15" ht="13" x14ac:dyDescent="0.15">
      <c r="A104" s="2" t="s">
        <v>2002</v>
      </c>
      <c r="B104" s="2" t="s">
        <v>2015</v>
      </c>
      <c r="C104" s="2" t="str">
        <f t="shared" si="0"/>
        <v>infix</v>
      </c>
      <c r="D104" s="2" t="s">
        <v>2011</v>
      </c>
      <c r="E104" s="2" t="str">
        <f t="shared" si="1"/>
        <v>What is the root word of the inflected word \"nilibot\"?</v>
      </c>
      <c r="F104" s="2" t="str">
        <f t="shared" si="2"/>
        <v>Ano ang salitang-ugat ng nilapiang salita na \"nilibot\"?</v>
      </c>
      <c r="G104" s="2" t="str">
        <f t="shared" si="3"/>
        <v>libot</v>
      </c>
      <c r="H104" s="19" t="s">
        <v>2765</v>
      </c>
      <c r="I104" s="2" t="s">
        <v>325</v>
      </c>
      <c r="J104" s="2" t="s">
        <v>326</v>
      </c>
      <c r="K104" s="2" t="s">
        <v>321</v>
      </c>
      <c r="L104" s="2"/>
      <c r="M104" s="2" t="s">
        <v>71</v>
      </c>
      <c r="N104" s="2" t="s">
        <v>322</v>
      </c>
    </row>
    <row r="105" spans="1:15" ht="13" x14ac:dyDescent="0.15">
      <c r="A105" s="2" t="s">
        <v>2002</v>
      </c>
      <c r="B105" s="2" t="s">
        <v>2015</v>
      </c>
      <c r="C105" s="2" t="str">
        <f t="shared" si="0"/>
        <v>infix</v>
      </c>
      <c r="D105" s="2" t="s">
        <v>2011</v>
      </c>
      <c r="E105" s="2" t="str">
        <f t="shared" si="1"/>
        <v>What is the root word of the inflected word \"nilisan\"?</v>
      </c>
      <c r="F105" s="2" t="str">
        <f t="shared" si="2"/>
        <v>Ano ang salitang-ugat ng nilapiang salita na \"nilisan\"?</v>
      </c>
      <c r="G105" s="2" t="str">
        <f t="shared" si="3"/>
        <v>lisan</v>
      </c>
      <c r="H105" s="19" t="s">
        <v>2766</v>
      </c>
      <c r="I105" s="2" t="s">
        <v>327</v>
      </c>
      <c r="J105" s="2" t="s">
        <v>328</v>
      </c>
      <c r="K105" s="2" t="s">
        <v>321</v>
      </c>
      <c r="L105" s="2"/>
      <c r="M105" s="2" t="s">
        <v>71</v>
      </c>
      <c r="N105" s="2" t="s">
        <v>322</v>
      </c>
    </row>
    <row r="106" spans="1:15" ht="13" x14ac:dyDescent="0.15">
      <c r="A106" s="2" t="s">
        <v>2002</v>
      </c>
      <c r="B106" s="2" t="s">
        <v>2015</v>
      </c>
      <c r="C106" s="2" t="str">
        <f t="shared" si="0"/>
        <v>infix</v>
      </c>
      <c r="D106" s="2" t="s">
        <v>2011</v>
      </c>
      <c r="E106" s="2" t="str">
        <f t="shared" si="1"/>
        <v>What is the root word of the inflected word \"nilito\"?</v>
      </c>
      <c r="F106" s="2" t="str">
        <f t="shared" si="2"/>
        <v>Ano ang salitang-ugat ng nilapiang salita na \"nilito\"?</v>
      </c>
      <c r="G106" s="2" t="str">
        <f t="shared" si="3"/>
        <v>lito</v>
      </c>
      <c r="H106" s="19" t="s">
        <v>2767</v>
      </c>
      <c r="I106" s="2" t="s">
        <v>329</v>
      </c>
      <c r="J106" s="2" t="s">
        <v>330</v>
      </c>
      <c r="K106" s="2" t="s">
        <v>321</v>
      </c>
      <c r="L106" s="2"/>
      <c r="M106" s="2" t="s">
        <v>71</v>
      </c>
      <c r="N106" s="2" t="s">
        <v>322</v>
      </c>
    </row>
    <row r="107" spans="1:15" ht="13" x14ac:dyDescent="0.15">
      <c r="A107" s="2" t="s">
        <v>2002</v>
      </c>
      <c r="B107" s="2" t="s">
        <v>2015</v>
      </c>
      <c r="C107" s="2" t="str">
        <f t="shared" si="0"/>
        <v>infix</v>
      </c>
      <c r="D107" s="2" t="s">
        <v>2011</v>
      </c>
      <c r="E107" s="2" t="str">
        <f t="shared" si="1"/>
        <v>What is the root word of the inflected word \"nilagay\"?</v>
      </c>
      <c r="F107" s="2" t="str">
        <f t="shared" si="2"/>
        <v>Ano ang salitang-ugat ng nilapiang salita na \"nilagay\"?</v>
      </c>
      <c r="G107" s="2" t="str">
        <f t="shared" si="3"/>
        <v>lagay</v>
      </c>
      <c r="H107" s="19" t="s">
        <v>2768</v>
      </c>
      <c r="I107" s="2" t="s">
        <v>331</v>
      </c>
      <c r="J107" s="2" t="s">
        <v>207</v>
      </c>
      <c r="K107" s="2" t="s">
        <v>321</v>
      </c>
      <c r="L107" s="2"/>
      <c r="M107" s="2" t="s">
        <v>71</v>
      </c>
      <c r="N107" s="2" t="s">
        <v>322</v>
      </c>
    </row>
    <row r="108" spans="1:15" ht="13" x14ac:dyDescent="0.15">
      <c r="A108" s="2" t="s">
        <v>2002</v>
      </c>
      <c r="B108" s="2" t="s">
        <v>2015</v>
      </c>
      <c r="C108" s="2" t="str">
        <f t="shared" si="0"/>
        <v>infix</v>
      </c>
      <c r="D108" s="2" t="s">
        <v>2011</v>
      </c>
      <c r="E108" s="2" t="str">
        <f t="shared" si="1"/>
        <v>What is the root word of the inflected word \"nilason\"?</v>
      </c>
      <c r="F108" s="2" t="str">
        <f t="shared" si="2"/>
        <v>Ano ang salitang-ugat ng nilapiang salita na \"nilason\"?</v>
      </c>
      <c r="G108" s="2" t="str">
        <f t="shared" si="3"/>
        <v>lason</v>
      </c>
      <c r="H108" s="19" t="s">
        <v>2769</v>
      </c>
      <c r="I108" s="2" t="s">
        <v>332</v>
      </c>
      <c r="J108" s="2" t="s">
        <v>333</v>
      </c>
      <c r="K108" s="2" t="s">
        <v>321</v>
      </c>
      <c r="L108" s="2"/>
      <c r="M108" s="2" t="s">
        <v>71</v>
      </c>
      <c r="N108" s="2" t="s">
        <v>322</v>
      </c>
    </row>
    <row r="109" spans="1:15" ht="13" x14ac:dyDescent="0.15">
      <c r="A109" s="2" t="s">
        <v>2002</v>
      </c>
      <c r="B109" s="2" t="s">
        <v>2015</v>
      </c>
      <c r="C109" s="2" t="str">
        <f t="shared" si="0"/>
        <v>infix</v>
      </c>
      <c r="D109" s="2" t="s">
        <v>2011</v>
      </c>
      <c r="E109" s="2" t="str">
        <f t="shared" si="1"/>
        <v>What is the root word of the inflected word \"niluklok\"?</v>
      </c>
      <c r="F109" s="2" t="str">
        <f t="shared" si="2"/>
        <v>Ano ang salitang-ugat ng nilapiang salita na \"niluklok\"?</v>
      </c>
      <c r="G109" s="2" t="str">
        <f t="shared" si="3"/>
        <v>luklok</v>
      </c>
      <c r="H109" s="19" t="s">
        <v>2770</v>
      </c>
      <c r="I109" s="2" t="s">
        <v>334</v>
      </c>
      <c r="J109" s="2" t="s">
        <v>335</v>
      </c>
      <c r="K109" s="2" t="s">
        <v>321</v>
      </c>
      <c r="L109" s="2"/>
      <c r="M109" s="2" t="s">
        <v>71</v>
      </c>
      <c r="N109" s="2" t="s">
        <v>322</v>
      </c>
    </row>
    <row r="110" spans="1:15" ht="13" x14ac:dyDescent="0.15">
      <c r="A110" s="2" t="s">
        <v>2002</v>
      </c>
      <c r="B110" s="2" t="s">
        <v>2015</v>
      </c>
      <c r="C110" s="2" t="str">
        <f t="shared" si="0"/>
        <v>infix</v>
      </c>
      <c r="D110" s="2" t="s">
        <v>2011</v>
      </c>
      <c r="E110" s="2" t="str">
        <f t="shared" si="1"/>
        <v>What is the root word of the inflected word \"niloko\"?</v>
      </c>
      <c r="F110" s="2" t="str">
        <f t="shared" si="2"/>
        <v>Ano ang salitang-ugat ng nilapiang salita na \"niloko\"?</v>
      </c>
      <c r="G110" s="2" t="str">
        <f t="shared" si="3"/>
        <v>loko</v>
      </c>
      <c r="H110" s="19" t="s">
        <v>2771</v>
      </c>
      <c r="I110" s="2" t="s">
        <v>336</v>
      </c>
      <c r="J110" s="2" t="s">
        <v>337</v>
      </c>
      <c r="K110" s="2" t="s">
        <v>321</v>
      </c>
      <c r="L110" s="2"/>
      <c r="M110" s="2" t="s">
        <v>71</v>
      </c>
      <c r="N110" s="2" t="s">
        <v>322</v>
      </c>
    </row>
    <row r="111" spans="1:15" ht="13" x14ac:dyDescent="0.15">
      <c r="A111" s="2" t="s">
        <v>2002</v>
      </c>
      <c r="B111" s="2" t="s">
        <v>2015</v>
      </c>
      <c r="C111" s="2" t="str">
        <f t="shared" si="0"/>
        <v>infix</v>
      </c>
      <c r="D111" s="2" t="s">
        <v>2011</v>
      </c>
      <c r="E111" s="2" t="str">
        <f t="shared" si="1"/>
        <v>What is the root word of the inflected word \"nilagari\"?</v>
      </c>
      <c r="F111" s="2" t="str">
        <f t="shared" si="2"/>
        <v>Ano ang salitang-ugat ng nilapiang salita na \"nilagari\"?</v>
      </c>
      <c r="G111" s="2" t="str">
        <f t="shared" si="3"/>
        <v>lagari</v>
      </c>
      <c r="H111" s="19" t="s">
        <v>2772</v>
      </c>
      <c r="I111" s="2" t="s">
        <v>338</v>
      </c>
      <c r="J111" s="2" t="s">
        <v>339</v>
      </c>
      <c r="K111" s="2" t="s">
        <v>321</v>
      </c>
      <c r="L111" s="2"/>
      <c r="M111" s="2" t="s">
        <v>71</v>
      </c>
      <c r="N111" s="2" t="s">
        <v>322</v>
      </c>
    </row>
    <row r="112" spans="1:15" ht="13" x14ac:dyDescent="0.15">
      <c r="A112" s="2" t="s">
        <v>2002</v>
      </c>
      <c r="B112" s="2" t="s">
        <v>2015</v>
      </c>
      <c r="C112" s="2" t="str">
        <f t="shared" si="0"/>
        <v>infix</v>
      </c>
      <c r="D112" s="2" t="s">
        <v>2011</v>
      </c>
      <c r="E112" s="2" t="str">
        <f t="shared" si="1"/>
        <v>What is the root word of the inflected word \"nilatigo\"?</v>
      </c>
      <c r="F112" s="2" t="str">
        <f t="shared" si="2"/>
        <v>Ano ang salitang-ugat ng nilapiang salita na \"nilatigo\"?</v>
      </c>
      <c r="G112" s="2" t="str">
        <f t="shared" si="3"/>
        <v>latigo</v>
      </c>
      <c r="H112" s="19" t="s">
        <v>2773</v>
      </c>
      <c r="I112" s="2" t="s">
        <v>340</v>
      </c>
      <c r="J112" s="2" t="s">
        <v>341</v>
      </c>
      <c r="K112" s="2" t="s">
        <v>321</v>
      </c>
      <c r="L112" s="2"/>
      <c r="M112" s="2" t="s">
        <v>71</v>
      </c>
      <c r="N112" s="2" t="s">
        <v>322</v>
      </c>
    </row>
    <row r="113" spans="1:14" ht="13" x14ac:dyDescent="0.15">
      <c r="A113" s="2" t="s">
        <v>2002</v>
      </c>
      <c r="B113" s="2" t="s">
        <v>2015</v>
      </c>
      <c r="C113" s="2" t="str">
        <f t="shared" si="0"/>
        <v>infix</v>
      </c>
      <c r="D113" s="2" t="s">
        <v>2011</v>
      </c>
      <c r="E113" s="2" t="str">
        <f t="shared" si="1"/>
        <v>What is the root word of the inflected word \"nilaban\"?</v>
      </c>
      <c r="F113" s="2" t="str">
        <f t="shared" si="2"/>
        <v>Ano ang salitang-ugat ng nilapiang salita na \"nilaban\"?</v>
      </c>
      <c r="G113" s="2" t="str">
        <f t="shared" si="3"/>
        <v>laban</v>
      </c>
      <c r="H113" s="19" t="s">
        <v>2774</v>
      </c>
      <c r="I113" s="2" t="s">
        <v>342</v>
      </c>
      <c r="J113" s="2" t="s">
        <v>105</v>
      </c>
      <c r="K113" s="2" t="s">
        <v>321</v>
      </c>
      <c r="L113" s="2"/>
      <c r="M113" s="2" t="s">
        <v>71</v>
      </c>
      <c r="N113" s="2" t="s">
        <v>322</v>
      </c>
    </row>
    <row r="114" spans="1:14" ht="13" x14ac:dyDescent="0.15">
      <c r="A114" s="2" t="s">
        <v>2002</v>
      </c>
      <c r="B114" s="2" t="s">
        <v>2015</v>
      </c>
      <c r="C114" s="2" t="str">
        <f t="shared" si="0"/>
        <v>infix</v>
      </c>
      <c r="D114" s="2" t="s">
        <v>2011</v>
      </c>
      <c r="E114" s="2" t="str">
        <f t="shared" si="1"/>
        <v>What is the root word of the inflected word \"niligpit\"?</v>
      </c>
      <c r="F114" s="2" t="str">
        <f t="shared" si="2"/>
        <v>Ano ang salitang-ugat ng nilapiang salita na \"niligpit\"?</v>
      </c>
      <c r="G114" s="2" t="str">
        <f t="shared" si="3"/>
        <v>ligpit</v>
      </c>
      <c r="H114" s="19" t="s">
        <v>2775</v>
      </c>
      <c r="I114" s="2" t="s">
        <v>343</v>
      </c>
      <c r="J114" s="2" t="s">
        <v>344</v>
      </c>
      <c r="K114" s="2" t="s">
        <v>321</v>
      </c>
      <c r="L114" s="2"/>
      <c r="M114" s="2" t="s">
        <v>71</v>
      </c>
      <c r="N114" s="2" t="s">
        <v>322</v>
      </c>
    </row>
    <row r="115" spans="1:14" ht="13" x14ac:dyDescent="0.15">
      <c r="A115" s="2" t="s">
        <v>2002</v>
      </c>
      <c r="B115" s="2" t="s">
        <v>2015</v>
      </c>
      <c r="C115" s="2" t="str">
        <f t="shared" si="0"/>
        <v>infix</v>
      </c>
      <c r="D115" s="2" t="s">
        <v>2011</v>
      </c>
      <c r="E115" s="2" t="str">
        <f t="shared" si="1"/>
        <v>What is the root word of the inflected word \"nilampaso\"?</v>
      </c>
      <c r="F115" s="2" t="str">
        <f t="shared" si="2"/>
        <v>Ano ang salitang-ugat ng nilapiang salita na \"nilampaso\"?</v>
      </c>
      <c r="G115" s="2" t="str">
        <f t="shared" si="3"/>
        <v>lampaso</v>
      </c>
      <c r="H115" s="19" t="s">
        <v>2776</v>
      </c>
      <c r="I115" s="2" t="s">
        <v>345</v>
      </c>
      <c r="J115" s="2" t="s">
        <v>346</v>
      </c>
      <c r="K115" s="2" t="s">
        <v>321</v>
      </c>
      <c r="L115" s="2"/>
      <c r="M115" s="2" t="s">
        <v>71</v>
      </c>
      <c r="N115" s="2" t="s">
        <v>322</v>
      </c>
    </row>
    <row r="116" spans="1:14" ht="13" x14ac:dyDescent="0.15">
      <c r="A116" s="2" t="s">
        <v>2002</v>
      </c>
      <c r="B116" s="2" t="s">
        <v>2015</v>
      </c>
      <c r="C116" s="2" t="str">
        <f t="shared" si="0"/>
        <v>infix</v>
      </c>
      <c r="D116" s="2" t="s">
        <v>2011</v>
      </c>
      <c r="E116" s="2" t="str">
        <f t="shared" si="1"/>
        <v>What is the root word of the inflected word \"niliko\"?</v>
      </c>
      <c r="F116" s="2" t="str">
        <f t="shared" si="2"/>
        <v>Ano ang salitang-ugat ng nilapiang salita na \"niliko\"?</v>
      </c>
      <c r="G116" s="2" t="str">
        <f t="shared" si="3"/>
        <v>liko</v>
      </c>
      <c r="H116" s="19" t="s">
        <v>2777</v>
      </c>
      <c r="I116" s="2" t="s">
        <v>347</v>
      </c>
      <c r="J116" s="2" t="s">
        <v>348</v>
      </c>
      <c r="K116" s="2" t="s">
        <v>321</v>
      </c>
      <c r="L116" s="2"/>
      <c r="M116" s="2" t="s">
        <v>71</v>
      </c>
      <c r="N116" s="2" t="s">
        <v>322</v>
      </c>
    </row>
    <row r="117" spans="1:14" ht="13" x14ac:dyDescent="0.15">
      <c r="A117" s="2" t="s">
        <v>2002</v>
      </c>
      <c r="B117" s="2" t="s">
        <v>2015</v>
      </c>
      <c r="C117" s="2" t="str">
        <f t="shared" si="0"/>
        <v>infix</v>
      </c>
      <c r="D117" s="2" t="s">
        <v>2011</v>
      </c>
      <c r="E117" s="2" t="str">
        <f t="shared" si="1"/>
        <v>What is the root word of the inflected word \"nilambat\"?</v>
      </c>
      <c r="F117" s="2" t="str">
        <f t="shared" si="2"/>
        <v>Ano ang salitang-ugat ng nilapiang salita na \"nilambat\"?</v>
      </c>
      <c r="G117" s="2" t="str">
        <f t="shared" si="3"/>
        <v>lambat</v>
      </c>
      <c r="H117" s="19" t="s">
        <v>2778</v>
      </c>
      <c r="I117" s="2" t="s">
        <v>349</v>
      </c>
      <c r="J117" s="2" t="s">
        <v>350</v>
      </c>
      <c r="K117" s="2" t="s">
        <v>321</v>
      </c>
      <c r="L117" s="2"/>
      <c r="M117" s="2" t="s">
        <v>71</v>
      </c>
      <c r="N117" s="2" t="s">
        <v>322</v>
      </c>
    </row>
    <row r="118" spans="1:14" ht="13" x14ac:dyDescent="0.15">
      <c r="A118" s="2" t="s">
        <v>2002</v>
      </c>
      <c r="B118" s="2" t="s">
        <v>2015</v>
      </c>
      <c r="C118" s="2" t="str">
        <f t="shared" si="0"/>
        <v>infix</v>
      </c>
      <c r="D118" s="2" t="s">
        <v>2011</v>
      </c>
      <c r="E118" s="2" t="str">
        <f t="shared" si="1"/>
        <v>What is the root word of the inflected word \"niluto\"?</v>
      </c>
      <c r="F118" s="2" t="str">
        <f t="shared" si="2"/>
        <v>Ano ang salitang-ugat ng nilapiang salita na \"niluto\"?</v>
      </c>
      <c r="G118" s="2" t="str">
        <f t="shared" si="3"/>
        <v>luto</v>
      </c>
      <c r="H118" s="19" t="s">
        <v>2779</v>
      </c>
      <c r="I118" s="2" t="s">
        <v>351</v>
      </c>
      <c r="J118" s="2" t="s">
        <v>198</v>
      </c>
      <c r="K118" s="2" t="s">
        <v>321</v>
      </c>
      <c r="L118" s="2"/>
      <c r="M118" s="2" t="s">
        <v>71</v>
      </c>
      <c r="N118" s="2" t="s">
        <v>322</v>
      </c>
    </row>
    <row r="119" spans="1:14" ht="13" x14ac:dyDescent="0.15">
      <c r="A119" s="2" t="s">
        <v>2002</v>
      </c>
      <c r="B119" s="2" t="s">
        <v>2015</v>
      </c>
      <c r="C119" s="2" t="str">
        <f t="shared" si="0"/>
        <v>infix</v>
      </c>
      <c r="D119" s="2" t="s">
        <v>2011</v>
      </c>
      <c r="E119" s="2" t="str">
        <f t="shared" si="1"/>
        <v>What is the root word of the inflected word \"nilapat\"?</v>
      </c>
      <c r="F119" s="2" t="str">
        <f t="shared" si="2"/>
        <v>Ano ang salitang-ugat ng nilapiang salita na \"nilapat\"?</v>
      </c>
      <c r="G119" s="2" t="str">
        <f t="shared" si="3"/>
        <v>lapat</v>
      </c>
      <c r="H119" s="19" t="s">
        <v>2780</v>
      </c>
      <c r="I119" s="2" t="s">
        <v>352</v>
      </c>
      <c r="J119" s="2" t="s">
        <v>353</v>
      </c>
      <c r="K119" s="2" t="s">
        <v>321</v>
      </c>
      <c r="L119" s="2"/>
      <c r="M119" s="2" t="s">
        <v>71</v>
      </c>
      <c r="N119" s="2" t="s">
        <v>322</v>
      </c>
    </row>
    <row r="120" spans="1:14" ht="13" x14ac:dyDescent="0.15">
      <c r="A120" s="2" t="s">
        <v>2002</v>
      </c>
      <c r="B120" s="2" t="s">
        <v>2015</v>
      </c>
      <c r="C120" s="2" t="str">
        <f t="shared" si="0"/>
        <v>infix</v>
      </c>
      <c r="D120" s="2" t="s">
        <v>2011</v>
      </c>
      <c r="E120" s="2" t="str">
        <f t="shared" si="1"/>
        <v>What is the root word of the inflected word \"niligaw\"?</v>
      </c>
      <c r="F120" s="2" t="str">
        <f t="shared" si="2"/>
        <v>Ano ang salitang-ugat ng nilapiang salita na \"niligaw\"?</v>
      </c>
      <c r="G120" s="2" t="str">
        <f t="shared" si="3"/>
        <v>ligaw</v>
      </c>
      <c r="H120" s="19" t="s">
        <v>2781</v>
      </c>
      <c r="I120" s="2" t="s">
        <v>354</v>
      </c>
      <c r="J120" s="2" t="s">
        <v>355</v>
      </c>
      <c r="K120" s="2" t="s">
        <v>321</v>
      </c>
      <c r="L120" s="2"/>
      <c r="M120" s="2" t="s">
        <v>71</v>
      </c>
      <c r="N120" s="2" t="s">
        <v>322</v>
      </c>
    </row>
    <row r="121" spans="1:14" ht="13" x14ac:dyDescent="0.15">
      <c r="A121" s="2" t="s">
        <v>2002</v>
      </c>
      <c r="B121" s="2" t="s">
        <v>2015</v>
      </c>
      <c r="C121" s="2" t="str">
        <f t="shared" si="0"/>
        <v>infix</v>
      </c>
      <c r="D121" s="2" t="s">
        <v>2011</v>
      </c>
      <c r="E121" s="2" t="str">
        <f t="shared" si="1"/>
        <v>What is the root word of the inflected word \"nilubos\"?</v>
      </c>
      <c r="F121" s="2" t="str">
        <f t="shared" si="2"/>
        <v>Ano ang salitang-ugat ng nilapiang salita na \"nilubos\"?</v>
      </c>
      <c r="G121" s="2" t="str">
        <f t="shared" si="3"/>
        <v>lubos</v>
      </c>
      <c r="H121" s="19" t="s">
        <v>2782</v>
      </c>
      <c r="I121" s="2" t="s">
        <v>356</v>
      </c>
      <c r="J121" s="2" t="s">
        <v>357</v>
      </c>
      <c r="K121" s="2" t="s">
        <v>321</v>
      </c>
      <c r="L121" s="2"/>
      <c r="M121" s="2" t="s">
        <v>71</v>
      </c>
      <c r="N121" s="2" t="s">
        <v>322</v>
      </c>
    </row>
    <row r="122" spans="1:14" ht="13" x14ac:dyDescent="0.15">
      <c r="A122" s="2" t="s">
        <v>2002</v>
      </c>
      <c r="B122" s="2" t="s">
        <v>2015</v>
      </c>
      <c r="C122" s="2" t="str">
        <f t="shared" si="0"/>
        <v>infix</v>
      </c>
      <c r="D122" s="2" t="s">
        <v>2011</v>
      </c>
      <c r="E122" s="2" t="str">
        <f t="shared" si="1"/>
        <v>What is the root word of the inflected word \"nilipat\"?</v>
      </c>
      <c r="F122" s="2" t="str">
        <f t="shared" si="2"/>
        <v>Ano ang salitang-ugat ng nilapiang salita na \"nilipat\"?</v>
      </c>
      <c r="G122" s="2" t="str">
        <f t="shared" si="3"/>
        <v>lipat</v>
      </c>
      <c r="H122" s="19" t="s">
        <v>2783</v>
      </c>
      <c r="I122" s="2" t="s">
        <v>358</v>
      </c>
      <c r="J122" s="2" t="s">
        <v>359</v>
      </c>
      <c r="K122" s="2" t="s">
        <v>321</v>
      </c>
      <c r="L122" s="2"/>
      <c r="M122" s="2" t="s">
        <v>71</v>
      </c>
      <c r="N122" s="2" t="s">
        <v>322</v>
      </c>
    </row>
    <row r="123" spans="1:14" ht="13" x14ac:dyDescent="0.15">
      <c r="A123" s="2" t="s">
        <v>2002</v>
      </c>
      <c r="B123" s="2" t="s">
        <v>2015</v>
      </c>
      <c r="C123" s="2" t="str">
        <f t="shared" si="0"/>
        <v>infix</v>
      </c>
      <c r="D123" s="2" t="s">
        <v>2011</v>
      </c>
      <c r="E123" s="2" t="str">
        <f t="shared" si="1"/>
        <v>What is the root word of the inflected word \"nilusong\"?</v>
      </c>
      <c r="F123" s="2" t="str">
        <f t="shared" si="2"/>
        <v>Ano ang salitang-ugat ng nilapiang salita na \"nilusong\"?</v>
      </c>
      <c r="G123" s="2" t="str">
        <f t="shared" si="3"/>
        <v>lusong</v>
      </c>
      <c r="H123" s="19" t="s">
        <v>2784</v>
      </c>
      <c r="I123" s="2" t="s">
        <v>360</v>
      </c>
      <c r="J123" s="2" t="s">
        <v>361</v>
      </c>
      <c r="K123" s="2" t="s">
        <v>321</v>
      </c>
      <c r="L123" s="2"/>
      <c r="M123" s="2" t="s">
        <v>71</v>
      </c>
      <c r="N123" s="2" t="s">
        <v>322</v>
      </c>
    </row>
    <row r="124" spans="1:14" ht="13" x14ac:dyDescent="0.15">
      <c r="A124" s="2" t="s">
        <v>2002</v>
      </c>
      <c r="B124" s="2" t="s">
        <v>2015</v>
      </c>
      <c r="C124" s="2" t="str">
        <f t="shared" si="0"/>
        <v>infix</v>
      </c>
      <c r="D124" s="2" t="s">
        <v>2011</v>
      </c>
      <c r="E124" s="2" t="str">
        <f t="shared" si="1"/>
        <v>What is the root word of the inflected word \"nilipon\"?</v>
      </c>
      <c r="F124" s="2" t="str">
        <f t="shared" si="2"/>
        <v>Ano ang salitang-ugat ng nilapiang salita na \"nilipon\"?</v>
      </c>
      <c r="G124" s="2" t="str">
        <f t="shared" si="3"/>
        <v>lipon</v>
      </c>
      <c r="H124" s="19" t="s">
        <v>2785</v>
      </c>
      <c r="I124" s="2" t="s">
        <v>362</v>
      </c>
      <c r="J124" s="2" t="s">
        <v>363</v>
      </c>
      <c r="K124" s="2" t="s">
        <v>321</v>
      </c>
      <c r="L124" s="2"/>
      <c r="M124" s="2" t="s">
        <v>71</v>
      </c>
      <c r="N124" s="2" t="s">
        <v>322</v>
      </c>
    </row>
    <row r="125" spans="1:14" ht="13" x14ac:dyDescent="0.15">
      <c r="A125" s="2" t="s">
        <v>2002</v>
      </c>
      <c r="B125" s="2" t="s">
        <v>2015</v>
      </c>
      <c r="C125" s="2" t="str">
        <f t="shared" si="0"/>
        <v>infix</v>
      </c>
      <c r="D125" s="2" t="s">
        <v>2011</v>
      </c>
      <c r="E125" s="2" t="str">
        <f t="shared" si="1"/>
        <v>What is the root word of the inflected word \"niyanig\"?</v>
      </c>
      <c r="F125" s="2" t="str">
        <f t="shared" si="2"/>
        <v>Ano ang salitang-ugat ng nilapiang salita na \"niyanig\"?</v>
      </c>
      <c r="G125" s="2" t="str">
        <f t="shared" si="3"/>
        <v>yanig</v>
      </c>
      <c r="H125" s="19" t="s">
        <v>2786</v>
      </c>
      <c r="I125" s="2" t="s">
        <v>364</v>
      </c>
      <c r="J125" s="2" t="s">
        <v>365</v>
      </c>
      <c r="K125" s="2" t="s">
        <v>321</v>
      </c>
      <c r="L125" s="2"/>
      <c r="M125" s="2" t="s">
        <v>71</v>
      </c>
      <c r="N125" s="2" t="s">
        <v>322</v>
      </c>
    </row>
    <row r="126" spans="1:14" ht="13" x14ac:dyDescent="0.15">
      <c r="A126" s="2" t="s">
        <v>2002</v>
      </c>
      <c r="B126" s="2" t="s">
        <v>2015</v>
      </c>
      <c r="C126" s="2" t="str">
        <f t="shared" si="0"/>
        <v>infix</v>
      </c>
      <c r="D126" s="2" t="s">
        <v>2011</v>
      </c>
      <c r="E126" s="2" t="str">
        <f t="shared" si="1"/>
        <v>What is the root word of the inflected word \"niyakap\"?</v>
      </c>
      <c r="F126" s="2" t="str">
        <f t="shared" si="2"/>
        <v>Ano ang salitang-ugat ng nilapiang salita na \"niyakap\"?</v>
      </c>
      <c r="G126" s="2" t="str">
        <f t="shared" si="3"/>
        <v>yakap</v>
      </c>
      <c r="H126" s="19" t="s">
        <v>2787</v>
      </c>
      <c r="I126" s="2" t="s">
        <v>366</v>
      </c>
      <c r="J126" s="2" t="s">
        <v>367</v>
      </c>
      <c r="K126" s="2" t="s">
        <v>321</v>
      </c>
      <c r="L126" s="2"/>
      <c r="M126" s="2" t="s">
        <v>71</v>
      </c>
      <c r="N126" s="2" t="s">
        <v>322</v>
      </c>
    </row>
    <row r="127" spans="1:14" ht="13" x14ac:dyDescent="0.15">
      <c r="A127" s="2" t="s">
        <v>2002</v>
      </c>
      <c r="B127" s="2" t="s">
        <v>2015</v>
      </c>
      <c r="C127" s="2" t="str">
        <f t="shared" si="0"/>
        <v>infix</v>
      </c>
      <c r="D127" s="2" t="s">
        <v>2011</v>
      </c>
      <c r="E127" s="2" t="str">
        <f t="shared" si="1"/>
        <v>What is the root word of the inflected word \"niyapos\"?</v>
      </c>
      <c r="F127" s="2" t="str">
        <f t="shared" si="2"/>
        <v>Ano ang salitang-ugat ng nilapiang salita na \"niyapos\"?</v>
      </c>
      <c r="G127" s="2" t="str">
        <f t="shared" si="3"/>
        <v>yapos</v>
      </c>
      <c r="H127" s="19" t="s">
        <v>2788</v>
      </c>
      <c r="I127" s="2" t="s">
        <v>368</v>
      </c>
      <c r="J127" s="2" t="s">
        <v>369</v>
      </c>
      <c r="K127" s="2" t="s">
        <v>321</v>
      </c>
      <c r="L127" s="2"/>
      <c r="M127" s="2" t="s">
        <v>71</v>
      </c>
      <c r="N127" s="2" t="s">
        <v>322</v>
      </c>
    </row>
    <row r="128" spans="1:14" ht="13" x14ac:dyDescent="0.15">
      <c r="A128" s="2" t="s">
        <v>2002</v>
      </c>
      <c r="B128" s="2" t="s">
        <v>2015</v>
      </c>
      <c r="C128" s="2" t="str">
        <f t="shared" si="0"/>
        <v>infix</v>
      </c>
      <c r="D128" s="2" t="s">
        <v>2011</v>
      </c>
      <c r="E128" s="2" t="str">
        <f t="shared" si="1"/>
        <v>What is the root word of the inflected word \"niyari\"?</v>
      </c>
      <c r="F128" s="2" t="str">
        <f t="shared" si="2"/>
        <v>Ano ang salitang-ugat ng nilapiang salita na \"niyari\"?</v>
      </c>
      <c r="G128" s="2" t="str">
        <f t="shared" si="3"/>
        <v>yari</v>
      </c>
      <c r="H128" s="19" t="s">
        <v>2789</v>
      </c>
      <c r="I128" s="2" t="s">
        <v>370</v>
      </c>
      <c r="J128" s="2" t="s">
        <v>371</v>
      </c>
      <c r="K128" s="2" t="s">
        <v>321</v>
      </c>
      <c r="L128" s="2"/>
      <c r="M128" s="2" t="s">
        <v>71</v>
      </c>
      <c r="N128" s="2" t="s">
        <v>322</v>
      </c>
    </row>
    <row r="129" spans="1:15" ht="13" x14ac:dyDescent="0.15">
      <c r="A129" s="2" t="s">
        <v>2002</v>
      </c>
      <c r="B129" s="2" t="s">
        <v>2015</v>
      </c>
      <c r="C129" s="2" t="str">
        <f t="shared" si="0"/>
        <v>infix</v>
      </c>
      <c r="D129" s="2" t="s">
        <v>2011</v>
      </c>
      <c r="E129" s="2" t="str">
        <f t="shared" si="1"/>
        <v>What is the root word of the inflected word \"niyaya\"?</v>
      </c>
      <c r="F129" s="2" t="str">
        <f t="shared" si="2"/>
        <v>Ano ang salitang-ugat ng nilapiang salita na \"niyaya\"?</v>
      </c>
      <c r="G129" s="2" t="str">
        <f t="shared" si="3"/>
        <v>yaya</v>
      </c>
      <c r="H129" s="19" t="s">
        <v>2790</v>
      </c>
      <c r="I129" s="2" t="s">
        <v>372</v>
      </c>
      <c r="J129" s="2" t="s">
        <v>373</v>
      </c>
      <c r="K129" s="2" t="s">
        <v>321</v>
      </c>
      <c r="L129" s="2"/>
      <c r="M129" s="2" t="s">
        <v>71</v>
      </c>
      <c r="N129" s="2" t="s">
        <v>322</v>
      </c>
    </row>
    <row r="130" spans="1:15" ht="13" x14ac:dyDescent="0.15">
      <c r="A130" s="2" t="s">
        <v>2002</v>
      </c>
      <c r="B130" s="2" t="s">
        <v>2015</v>
      </c>
      <c r="C130" s="2" t="str">
        <f t="shared" si="0"/>
        <v>infix</v>
      </c>
      <c r="D130" s="2" t="s">
        <v>2011</v>
      </c>
      <c r="E130" s="2" t="str">
        <f t="shared" si="1"/>
        <v>What is the root word of the inflected word \"niyuko\"?</v>
      </c>
      <c r="F130" s="2" t="str">
        <f t="shared" si="2"/>
        <v>Ano ang salitang-ugat ng nilapiang salita na \"niyuko\"?</v>
      </c>
      <c r="G130" s="2" t="str">
        <f t="shared" si="3"/>
        <v>yuko</v>
      </c>
      <c r="H130" s="19" t="s">
        <v>2791</v>
      </c>
      <c r="I130" s="2" t="s">
        <v>374</v>
      </c>
      <c r="J130" s="2" t="s">
        <v>375</v>
      </c>
      <c r="K130" s="2" t="s">
        <v>321</v>
      </c>
      <c r="L130" s="2"/>
      <c r="M130" s="2" t="s">
        <v>71</v>
      </c>
      <c r="N130" s="2" t="s">
        <v>322</v>
      </c>
    </row>
    <row r="131" spans="1:15" ht="13" x14ac:dyDescent="0.15">
      <c r="A131" s="2" t="s">
        <v>2002</v>
      </c>
      <c r="B131" s="2" t="s">
        <v>2015</v>
      </c>
      <c r="C131" s="2" t="str">
        <f t="shared" si="0"/>
        <v>infix</v>
      </c>
      <c r="D131" s="2" t="s">
        <v>2011</v>
      </c>
      <c r="E131" s="2" t="str">
        <f t="shared" si="1"/>
        <v>What is the root word of the inflected word \"niyupi\"?</v>
      </c>
      <c r="F131" s="2" t="str">
        <f t="shared" si="2"/>
        <v>Ano ang salitang-ugat ng nilapiang salita na \"niyupi\"?</v>
      </c>
      <c r="G131" s="2" t="str">
        <f t="shared" si="3"/>
        <v>yupi</v>
      </c>
      <c r="H131" s="19" t="s">
        <v>2792</v>
      </c>
      <c r="I131" s="2" t="s">
        <v>376</v>
      </c>
      <c r="J131" s="2" t="s">
        <v>377</v>
      </c>
      <c r="K131" s="2" t="s">
        <v>321</v>
      </c>
      <c r="L131" s="2"/>
      <c r="M131" s="2" t="s">
        <v>71</v>
      </c>
      <c r="N131" s="2" t="s">
        <v>322</v>
      </c>
    </row>
    <row r="132" spans="1:15" ht="15" x14ac:dyDescent="0.2">
      <c r="A132" s="2" t="s">
        <v>2002</v>
      </c>
      <c r="B132" s="2" t="s">
        <v>2015</v>
      </c>
      <c r="C132" s="2" t="str">
        <f t="shared" si="0"/>
        <v>infix</v>
      </c>
      <c r="D132" s="11" t="s">
        <v>2009</v>
      </c>
      <c r="E132" s="2" t="str">
        <f t="shared" si="1"/>
        <v>What is the root word of the inflected word \"kinain\"?</v>
      </c>
      <c r="F132" s="2" t="str">
        <f t="shared" si="2"/>
        <v>Ano ang salitang-ugat ng nilapiang salita na \"kinain\"?</v>
      </c>
      <c r="G132" s="2" t="str">
        <f t="shared" si="3"/>
        <v>kain</v>
      </c>
      <c r="H132" s="19" t="s">
        <v>2793</v>
      </c>
      <c r="I132" s="11" t="s">
        <v>378</v>
      </c>
      <c r="J132" s="11" t="s">
        <v>379</v>
      </c>
      <c r="K132" s="11" t="s">
        <v>321</v>
      </c>
      <c r="L132" s="11"/>
      <c r="M132" s="11" t="s">
        <v>71</v>
      </c>
      <c r="N132" s="2" t="s">
        <v>165</v>
      </c>
      <c r="O132" s="2"/>
    </row>
    <row r="133" spans="1:15" ht="15" x14ac:dyDescent="0.2">
      <c r="A133" s="2" t="s">
        <v>2002</v>
      </c>
      <c r="B133" s="2" t="s">
        <v>2015</v>
      </c>
      <c r="C133" s="2" t="str">
        <f t="shared" si="0"/>
        <v>infix</v>
      </c>
      <c r="D133" s="11" t="s">
        <v>2009</v>
      </c>
      <c r="E133" s="2" t="str">
        <f t="shared" si="1"/>
        <v>What is the root word of the inflected word \"tinakbo\"?</v>
      </c>
      <c r="F133" s="2" t="str">
        <f t="shared" si="2"/>
        <v>Ano ang salitang-ugat ng nilapiang salita na \"tinakbo\"?</v>
      </c>
      <c r="G133" s="2" t="str">
        <f t="shared" si="3"/>
        <v>takbo</v>
      </c>
      <c r="H133" s="19" t="s">
        <v>2794</v>
      </c>
      <c r="I133" s="11" t="s">
        <v>380</v>
      </c>
      <c r="J133" s="11" t="s">
        <v>381</v>
      </c>
      <c r="K133" s="11" t="s">
        <v>321</v>
      </c>
      <c r="L133" s="11"/>
      <c r="M133" s="11" t="s">
        <v>71</v>
      </c>
      <c r="N133" s="2" t="s">
        <v>165</v>
      </c>
      <c r="O133" s="2"/>
    </row>
    <row r="134" spans="1:15" ht="15" x14ac:dyDescent="0.2">
      <c r="A134" s="2" t="s">
        <v>2002</v>
      </c>
      <c r="B134" s="2" t="s">
        <v>2015</v>
      </c>
      <c r="C134" s="2" t="str">
        <f t="shared" si="0"/>
        <v>infix</v>
      </c>
      <c r="D134" s="11" t="s">
        <v>2009</v>
      </c>
      <c r="E134" s="2" t="str">
        <f t="shared" si="1"/>
        <v>What is the root word of the inflected word \"sinipsip\"?</v>
      </c>
      <c r="F134" s="2" t="str">
        <f t="shared" si="2"/>
        <v>Ano ang salitang-ugat ng nilapiang salita na \"sinipsip\"?</v>
      </c>
      <c r="G134" s="2" t="str">
        <f t="shared" si="3"/>
        <v>sipsip</v>
      </c>
      <c r="H134" s="19" t="s">
        <v>2795</v>
      </c>
      <c r="I134" s="11" t="s">
        <v>382</v>
      </c>
      <c r="J134" s="11" t="s">
        <v>383</v>
      </c>
      <c r="K134" s="11" t="s">
        <v>321</v>
      </c>
      <c r="L134" s="11"/>
      <c r="M134" s="11" t="s">
        <v>71</v>
      </c>
      <c r="N134" s="2" t="s">
        <v>165</v>
      </c>
      <c r="O134" s="2"/>
    </row>
    <row r="135" spans="1:15" ht="15" x14ac:dyDescent="0.2">
      <c r="A135" s="2" t="s">
        <v>2002</v>
      </c>
      <c r="B135" s="2" t="s">
        <v>2015</v>
      </c>
      <c r="C135" s="2" t="str">
        <f t="shared" si="0"/>
        <v>infix</v>
      </c>
      <c r="D135" s="11" t="s">
        <v>2009</v>
      </c>
      <c r="E135" s="2" t="str">
        <f t="shared" si="1"/>
        <v>What is the root word of the inflected word \"binunyag\"?</v>
      </c>
      <c r="F135" s="2" t="str">
        <f t="shared" si="2"/>
        <v>Ano ang salitang-ugat ng nilapiang salita na \"binunyag\"?</v>
      </c>
      <c r="G135" s="2" t="str">
        <f t="shared" si="3"/>
        <v>bunyag</v>
      </c>
      <c r="H135" s="19" t="s">
        <v>2796</v>
      </c>
      <c r="I135" s="11" t="s">
        <v>384</v>
      </c>
      <c r="J135" s="11" t="s">
        <v>385</v>
      </c>
      <c r="K135" s="11" t="s">
        <v>321</v>
      </c>
      <c r="L135" s="11"/>
      <c r="M135" s="11" t="s">
        <v>71</v>
      </c>
      <c r="N135" s="2" t="s">
        <v>165</v>
      </c>
      <c r="O135" s="2"/>
    </row>
    <row r="136" spans="1:15" ht="15" x14ac:dyDescent="0.2">
      <c r="A136" s="2" t="s">
        <v>2002</v>
      </c>
      <c r="B136" s="2" t="s">
        <v>2015</v>
      </c>
      <c r="C136" s="2" t="str">
        <f t="shared" si="0"/>
        <v>infix</v>
      </c>
      <c r="D136" s="11" t="s">
        <v>2009</v>
      </c>
      <c r="E136" s="2" t="str">
        <f t="shared" si="1"/>
        <v>What is the root word of the inflected word \"kinuwento\"?</v>
      </c>
      <c r="F136" s="2" t="str">
        <f t="shared" si="2"/>
        <v>Ano ang salitang-ugat ng nilapiang salita na \"kinuwento\"?</v>
      </c>
      <c r="G136" s="2" t="str">
        <f t="shared" si="3"/>
        <v>kuwento</v>
      </c>
      <c r="H136" s="19" t="s">
        <v>2797</v>
      </c>
      <c r="I136" s="11" t="s">
        <v>386</v>
      </c>
      <c r="J136" s="11" t="s">
        <v>387</v>
      </c>
      <c r="K136" s="11" t="s">
        <v>321</v>
      </c>
      <c r="L136" s="11"/>
      <c r="M136" s="11" t="s">
        <v>71</v>
      </c>
      <c r="N136" s="2" t="s">
        <v>165</v>
      </c>
      <c r="O136" s="2"/>
    </row>
    <row r="137" spans="1:15" ht="15" x14ac:dyDescent="0.2">
      <c r="A137" s="2" t="s">
        <v>2002</v>
      </c>
      <c r="B137" s="2" t="s">
        <v>2015</v>
      </c>
      <c r="C137" s="2" t="str">
        <f t="shared" si="0"/>
        <v>infix</v>
      </c>
      <c r="D137" s="11" t="s">
        <v>2009</v>
      </c>
      <c r="E137" s="2" t="str">
        <f t="shared" si="1"/>
        <v>What is the root word of the inflected word \"kinamot\"?</v>
      </c>
      <c r="F137" s="2" t="str">
        <f t="shared" si="2"/>
        <v>Ano ang salitang-ugat ng nilapiang salita na \"kinamot\"?</v>
      </c>
      <c r="G137" s="2" t="str">
        <f t="shared" si="3"/>
        <v>kamot</v>
      </c>
      <c r="H137" s="19" t="s">
        <v>2798</v>
      </c>
      <c r="I137" s="11" t="s">
        <v>388</v>
      </c>
      <c r="J137" s="11" t="s">
        <v>389</v>
      </c>
      <c r="K137" s="11" t="s">
        <v>321</v>
      </c>
      <c r="L137" s="11"/>
      <c r="M137" s="11" t="s">
        <v>71</v>
      </c>
      <c r="N137" s="2" t="s">
        <v>165</v>
      </c>
      <c r="O137" s="2"/>
    </row>
    <row r="138" spans="1:15" ht="15" x14ac:dyDescent="0.2">
      <c r="A138" s="2" t="s">
        <v>2002</v>
      </c>
      <c r="B138" s="2" t="s">
        <v>2015</v>
      </c>
      <c r="C138" s="2" t="str">
        <f t="shared" si="0"/>
        <v>infix</v>
      </c>
      <c r="D138" s="11" t="s">
        <v>2009</v>
      </c>
      <c r="E138" s="2" t="str">
        <f t="shared" si="1"/>
        <v>What is the root word of the inflected word \"hinagis\"?</v>
      </c>
      <c r="F138" s="2" t="str">
        <f t="shared" si="2"/>
        <v>Ano ang salitang-ugat ng nilapiang salita na \"hinagis\"?</v>
      </c>
      <c r="G138" s="2" t="str">
        <f t="shared" si="3"/>
        <v>hagis</v>
      </c>
      <c r="H138" s="19" t="s">
        <v>2799</v>
      </c>
      <c r="I138" s="11" t="s">
        <v>390</v>
      </c>
      <c r="J138" s="11" t="s">
        <v>391</v>
      </c>
      <c r="K138" s="11" t="s">
        <v>321</v>
      </c>
      <c r="L138" s="11"/>
      <c r="M138" s="11" t="s">
        <v>71</v>
      </c>
      <c r="N138" s="2" t="s">
        <v>165</v>
      </c>
      <c r="O138" s="2"/>
    </row>
    <row r="139" spans="1:15" ht="15" x14ac:dyDescent="0.2">
      <c r="A139" s="2" t="s">
        <v>2002</v>
      </c>
      <c r="B139" s="2" t="s">
        <v>2015</v>
      </c>
      <c r="C139" s="2" t="str">
        <f t="shared" si="0"/>
        <v>infix</v>
      </c>
      <c r="D139" s="11" t="s">
        <v>2009</v>
      </c>
      <c r="E139" s="2" t="str">
        <f t="shared" si="1"/>
        <v>What is the root word of the inflected word \"sinara\"?</v>
      </c>
      <c r="F139" s="2" t="str">
        <f t="shared" si="2"/>
        <v>Ano ang salitang-ugat ng nilapiang salita na \"sinara\"?</v>
      </c>
      <c r="G139" s="2" t="str">
        <f t="shared" si="3"/>
        <v>sara</v>
      </c>
      <c r="H139" s="19" t="s">
        <v>2800</v>
      </c>
      <c r="I139" s="11" t="s">
        <v>392</v>
      </c>
      <c r="J139" s="11" t="s">
        <v>393</v>
      </c>
      <c r="K139" s="11" t="s">
        <v>321</v>
      </c>
      <c r="L139" s="11"/>
      <c r="M139" s="11" t="s">
        <v>71</v>
      </c>
      <c r="N139" s="2" t="s">
        <v>165</v>
      </c>
      <c r="O139" s="2"/>
    </row>
    <row r="140" spans="1:15" ht="15" x14ac:dyDescent="0.2">
      <c r="A140" s="2" t="s">
        <v>2002</v>
      </c>
      <c r="B140" s="2" t="s">
        <v>2015</v>
      </c>
      <c r="C140" s="2" t="str">
        <f t="shared" si="0"/>
        <v>infix</v>
      </c>
      <c r="D140" s="11" t="s">
        <v>2009</v>
      </c>
      <c r="E140" s="2" t="str">
        <f t="shared" si="1"/>
        <v>What is the root word of the inflected word \"pinasok\"?</v>
      </c>
      <c r="F140" s="2" t="str">
        <f t="shared" si="2"/>
        <v>Ano ang salitang-ugat ng nilapiang salita na \"pinasok\"?</v>
      </c>
      <c r="G140" s="2" t="str">
        <f t="shared" si="3"/>
        <v>pasok</v>
      </c>
      <c r="H140" s="19" t="s">
        <v>2801</v>
      </c>
      <c r="I140" s="11" t="s">
        <v>394</v>
      </c>
      <c r="J140" s="11" t="s">
        <v>395</v>
      </c>
      <c r="K140" s="11" t="s">
        <v>321</v>
      </c>
      <c r="L140" s="11"/>
      <c r="M140" s="11" t="s">
        <v>71</v>
      </c>
      <c r="N140" s="2" t="s">
        <v>165</v>
      </c>
      <c r="O140" s="2"/>
    </row>
    <row r="141" spans="1:15" ht="15" x14ac:dyDescent="0.2">
      <c r="A141" s="2" t="s">
        <v>2002</v>
      </c>
      <c r="B141" s="2" t="s">
        <v>2015</v>
      </c>
      <c r="C141" s="2" t="str">
        <f t="shared" si="0"/>
        <v>infix</v>
      </c>
      <c r="D141" s="11" t="s">
        <v>2009</v>
      </c>
      <c r="E141" s="2" t="str">
        <f t="shared" si="1"/>
        <v>What is the root word of the inflected word \"tinayo\"?</v>
      </c>
      <c r="F141" s="2" t="str">
        <f t="shared" si="2"/>
        <v>Ano ang salitang-ugat ng nilapiang salita na \"tinayo\"?</v>
      </c>
      <c r="G141" s="2" t="str">
        <f t="shared" si="3"/>
        <v>tayo</v>
      </c>
      <c r="H141" s="19" t="s">
        <v>2802</v>
      </c>
      <c r="I141" s="11" t="s">
        <v>396</v>
      </c>
      <c r="J141" s="11" t="s">
        <v>397</v>
      </c>
      <c r="K141" s="11" t="s">
        <v>321</v>
      </c>
      <c r="L141" s="11"/>
      <c r="M141" s="11" t="s">
        <v>71</v>
      </c>
      <c r="N141" s="2" t="s">
        <v>165</v>
      </c>
      <c r="O141" s="2"/>
    </row>
    <row r="142" spans="1:15" ht="15" x14ac:dyDescent="0.2">
      <c r="A142" s="2" t="s">
        <v>2002</v>
      </c>
      <c r="B142" s="2" t="s">
        <v>2015</v>
      </c>
      <c r="C142" s="2" t="str">
        <f t="shared" si="0"/>
        <v>infix</v>
      </c>
      <c r="D142" s="11" t="s">
        <v>2009</v>
      </c>
      <c r="E142" s="2" t="str">
        <f t="shared" si="1"/>
        <v>What is the root word of the inflected word \"sumayaw\"?</v>
      </c>
      <c r="F142" s="2" t="str">
        <f t="shared" si="2"/>
        <v>Ano ang salitang-ugat ng nilapiang salita na \"sumayaw\"?</v>
      </c>
      <c r="G142" s="2" t="str">
        <f t="shared" si="3"/>
        <v>sayaw</v>
      </c>
      <c r="H142" s="19" t="s">
        <v>2803</v>
      </c>
      <c r="I142" s="2" t="s">
        <v>398</v>
      </c>
      <c r="J142" s="2" t="s">
        <v>399</v>
      </c>
      <c r="K142" s="2" t="s">
        <v>400</v>
      </c>
      <c r="L142" s="2"/>
      <c r="M142" s="11" t="s">
        <v>71</v>
      </c>
      <c r="N142" s="2" t="s">
        <v>165</v>
      </c>
      <c r="O142" s="2"/>
    </row>
    <row r="143" spans="1:15" ht="15" x14ac:dyDescent="0.2">
      <c r="A143" s="2" t="s">
        <v>2002</v>
      </c>
      <c r="B143" s="2" t="s">
        <v>2015</v>
      </c>
      <c r="C143" s="2" t="str">
        <f t="shared" si="0"/>
        <v>infix</v>
      </c>
      <c r="D143" s="11" t="s">
        <v>2009</v>
      </c>
      <c r="E143" s="2" t="str">
        <f t="shared" si="1"/>
        <v>What is the root word of the inflected word \"kumanta\"?</v>
      </c>
      <c r="F143" s="2" t="str">
        <f t="shared" si="2"/>
        <v>Ano ang salitang-ugat ng nilapiang salita na \"kumanta\"?</v>
      </c>
      <c r="G143" s="2" t="str">
        <f t="shared" si="3"/>
        <v>kanta</v>
      </c>
      <c r="H143" s="19" t="s">
        <v>2804</v>
      </c>
      <c r="I143" s="11" t="s">
        <v>401</v>
      </c>
      <c r="J143" s="11" t="s">
        <v>190</v>
      </c>
      <c r="K143" s="2" t="s">
        <v>400</v>
      </c>
      <c r="L143" s="2"/>
      <c r="M143" s="11" t="s">
        <v>71</v>
      </c>
      <c r="N143" s="2" t="s">
        <v>165</v>
      </c>
      <c r="O143" s="2"/>
    </row>
    <row r="144" spans="1:15" ht="15" x14ac:dyDescent="0.2">
      <c r="A144" s="2" t="s">
        <v>2002</v>
      </c>
      <c r="B144" s="2" t="s">
        <v>2015</v>
      </c>
      <c r="C144" s="2" t="str">
        <f t="shared" si="0"/>
        <v>infix</v>
      </c>
      <c r="D144" s="11" t="s">
        <v>2009</v>
      </c>
      <c r="E144" s="2" t="str">
        <f t="shared" si="1"/>
        <v>What is the root word of the inflected word \"lumayo\"?</v>
      </c>
      <c r="F144" s="2" t="str">
        <f t="shared" si="2"/>
        <v>Ano ang salitang-ugat ng nilapiang salita na \"lumayo\"?</v>
      </c>
      <c r="G144" s="2" t="str">
        <f t="shared" si="3"/>
        <v>layo</v>
      </c>
      <c r="H144" s="19" t="s">
        <v>2805</v>
      </c>
      <c r="I144" s="11" t="s">
        <v>402</v>
      </c>
      <c r="J144" s="11" t="s">
        <v>403</v>
      </c>
      <c r="K144" s="2" t="s">
        <v>400</v>
      </c>
      <c r="L144" s="2"/>
      <c r="M144" s="11" t="s">
        <v>71</v>
      </c>
      <c r="N144" s="2" t="s">
        <v>165</v>
      </c>
      <c r="O144" s="2"/>
    </row>
    <row r="145" spans="1:15" ht="15" x14ac:dyDescent="0.2">
      <c r="A145" s="2" t="s">
        <v>2002</v>
      </c>
      <c r="B145" s="2" t="s">
        <v>2015</v>
      </c>
      <c r="C145" s="2" t="str">
        <f t="shared" si="0"/>
        <v>infix</v>
      </c>
      <c r="D145" s="11" t="s">
        <v>2009</v>
      </c>
      <c r="E145" s="2" t="str">
        <f t="shared" si="1"/>
        <v>What is the root word of the inflected word \"pumusta\"?</v>
      </c>
      <c r="F145" s="2" t="str">
        <f t="shared" si="2"/>
        <v>Ano ang salitang-ugat ng nilapiang salita na \"pumusta\"?</v>
      </c>
      <c r="G145" s="2" t="str">
        <f t="shared" si="3"/>
        <v>pusta</v>
      </c>
      <c r="H145" s="19" t="s">
        <v>2806</v>
      </c>
      <c r="I145" s="11" t="s">
        <v>404</v>
      </c>
      <c r="J145" s="11" t="s">
        <v>405</v>
      </c>
      <c r="K145" s="2" t="s">
        <v>400</v>
      </c>
      <c r="L145" s="2"/>
      <c r="M145" s="11" t="s">
        <v>71</v>
      </c>
      <c r="N145" s="2" t="s">
        <v>165</v>
      </c>
      <c r="O145" s="2"/>
    </row>
    <row r="146" spans="1:15" ht="15" x14ac:dyDescent="0.2">
      <c r="A146" s="2" t="s">
        <v>2002</v>
      </c>
      <c r="B146" s="2" t="s">
        <v>2015</v>
      </c>
      <c r="C146" s="2" t="str">
        <f t="shared" si="0"/>
        <v>infix</v>
      </c>
      <c r="D146" s="11" t="s">
        <v>2009</v>
      </c>
      <c r="E146" s="2" t="str">
        <f t="shared" si="1"/>
        <v>What is the root word of the inflected word \"kumuha\"?</v>
      </c>
      <c r="F146" s="2" t="str">
        <f t="shared" si="2"/>
        <v>Ano ang salitang-ugat ng nilapiang salita na \"kumuha\"?</v>
      </c>
      <c r="G146" s="2" t="str">
        <f t="shared" si="3"/>
        <v>kuha</v>
      </c>
      <c r="H146" s="19" t="s">
        <v>2807</v>
      </c>
      <c r="I146" s="11" t="s">
        <v>406</v>
      </c>
      <c r="J146" s="11" t="s">
        <v>118</v>
      </c>
      <c r="K146" s="2" t="s">
        <v>400</v>
      </c>
      <c r="L146" s="2"/>
      <c r="M146" s="11" t="s">
        <v>71</v>
      </c>
      <c r="N146" s="2" t="s">
        <v>165</v>
      </c>
      <c r="O146" s="2"/>
    </row>
    <row r="147" spans="1:15" ht="15" x14ac:dyDescent="0.2">
      <c r="A147" s="2" t="s">
        <v>2002</v>
      </c>
      <c r="B147" s="2" t="s">
        <v>2015</v>
      </c>
      <c r="C147" s="2" t="str">
        <f t="shared" si="0"/>
        <v>infix</v>
      </c>
      <c r="D147" s="11" t="s">
        <v>2009</v>
      </c>
      <c r="E147" s="2" t="str">
        <f t="shared" si="1"/>
        <v>What is the root word of the inflected word \"sumumpa\"?</v>
      </c>
      <c r="F147" s="2" t="str">
        <f t="shared" si="2"/>
        <v>Ano ang salitang-ugat ng nilapiang salita na \"sumumpa\"?</v>
      </c>
      <c r="G147" s="2" t="str">
        <f t="shared" si="3"/>
        <v>sumpa</v>
      </c>
      <c r="H147" s="19" t="s">
        <v>2808</v>
      </c>
      <c r="I147" s="11" t="s">
        <v>407</v>
      </c>
      <c r="J147" s="11" t="s">
        <v>408</v>
      </c>
      <c r="K147" s="2" t="s">
        <v>400</v>
      </c>
      <c r="L147" s="2"/>
      <c r="M147" s="11" t="s">
        <v>71</v>
      </c>
      <c r="N147" s="2" t="s">
        <v>165</v>
      </c>
      <c r="O147" s="2"/>
    </row>
    <row r="148" spans="1:15" ht="15" x14ac:dyDescent="0.2">
      <c r="A148" s="2" t="s">
        <v>2002</v>
      </c>
      <c r="B148" s="2" t="s">
        <v>2015</v>
      </c>
      <c r="C148" s="2" t="str">
        <f t="shared" si="0"/>
        <v>infix</v>
      </c>
      <c r="D148" s="11" t="s">
        <v>2009</v>
      </c>
      <c r="E148" s="2" t="str">
        <f t="shared" si="1"/>
        <v>What is the root word of the inflected word \"lumindol\"?</v>
      </c>
      <c r="F148" s="2" t="str">
        <f t="shared" si="2"/>
        <v>Ano ang salitang-ugat ng nilapiang salita na \"lumindol\"?</v>
      </c>
      <c r="G148" s="2" t="str">
        <f t="shared" si="3"/>
        <v>lindol</v>
      </c>
      <c r="H148" s="19" t="s">
        <v>2809</v>
      </c>
      <c r="I148" s="11" t="s">
        <v>409</v>
      </c>
      <c r="J148" s="11" t="s">
        <v>410</v>
      </c>
      <c r="K148" s="2" t="s">
        <v>400</v>
      </c>
      <c r="L148" s="2"/>
      <c r="M148" s="11" t="s">
        <v>71</v>
      </c>
      <c r="N148" s="2" t="s">
        <v>165</v>
      </c>
      <c r="O148" s="2"/>
    </row>
    <row r="149" spans="1:15" ht="15" x14ac:dyDescent="0.2">
      <c r="A149" s="2" t="s">
        <v>2002</v>
      </c>
      <c r="B149" s="2" t="s">
        <v>2015</v>
      </c>
      <c r="C149" s="2" t="str">
        <f t="shared" si="0"/>
        <v>infix</v>
      </c>
      <c r="D149" s="11" t="s">
        <v>2009</v>
      </c>
      <c r="E149" s="2" t="str">
        <f t="shared" si="1"/>
        <v>What is the root word of the inflected word \"tumalon\"?</v>
      </c>
      <c r="F149" s="2" t="str">
        <f t="shared" si="2"/>
        <v>Ano ang salitang-ugat ng nilapiang salita na \"tumalon\"?</v>
      </c>
      <c r="G149" s="2" t="str">
        <f t="shared" si="3"/>
        <v>talon</v>
      </c>
      <c r="H149" s="19" t="s">
        <v>2810</v>
      </c>
      <c r="I149" s="11" t="s">
        <v>411</v>
      </c>
      <c r="J149" s="11" t="s">
        <v>412</v>
      </c>
      <c r="K149" s="2" t="s">
        <v>400</v>
      </c>
      <c r="L149" s="2"/>
      <c r="M149" s="11" t="s">
        <v>71</v>
      </c>
      <c r="N149" s="2" t="s">
        <v>165</v>
      </c>
      <c r="O149" s="2"/>
    </row>
    <row r="150" spans="1:15" ht="15" x14ac:dyDescent="0.2">
      <c r="A150" s="2" t="s">
        <v>2002</v>
      </c>
      <c r="B150" s="2" t="s">
        <v>2015</v>
      </c>
      <c r="C150" s="2" t="str">
        <f t="shared" si="0"/>
        <v>infix</v>
      </c>
      <c r="D150" s="11" t="s">
        <v>2009</v>
      </c>
      <c r="E150" s="2" t="str">
        <f t="shared" si="1"/>
        <v>What is the root word of the inflected word \"sumuko\"?</v>
      </c>
      <c r="F150" s="2" t="str">
        <f t="shared" si="2"/>
        <v>Ano ang salitang-ugat ng nilapiang salita na \"sumuko\"?</v>
      </c>
      <c r="G150" s="2" t="str">
        <f t="shared" si="3"/>
        <v>suko</v>
      </c>
      <c r="H150" s="19" t="s">
        <v>2811</v>
      </c>
      <c r="I150" s="11" t="s">
        <v>413</v>
      </c>
      <c r="J150" s="11" t="s">
        <v>414</v>
      </c>
      <c r="K150" s="2" t="s">
        <v>400</v>
      </c>
      <c r="L150" s="2"/>
      <c r="M150" s="11" t="s">
        <v>71</v>
      </c>
      <c r="N150" s="2" t="s">
        <v>165</v>
      </c>
      <c r="O150" s="2"/>
    </row>
    <row r="151" spans="1:15" ht="15" x14ac:dyDescent="0.2">
      <c r="A151" s="2" t="s">
        <v>2002</v>
      </c>
      <c r="B151" s="2" t="s">
        <v>2015</v>
      </c>
      <c r="C151" s="2" t="str">
        <f t="shared" si="0"/>
        <v>infix</v>
      </c>
      <c r="D151" s="11" t="s">
        <v>2009</v>
      </c>
      <c r="E151" s="2" t="str">
        <f t="shared" si="1"/>
        <v>What is the root word of the inflected word \"umasta\"?</v>
      </c>
      <c r="F151" s="2" t="str">
        <f t="shared" si="2"/>
        <v>Ano ang salitang-ugat ng nilapiang salita na \"umasta\"?</v>
      </c>
      <c r="G151" s="2" t="str">
        <f t="shared" si="3"/>
        <v>asta</v>
      </c>
      <c r="H151" s="19" t="s">
        <v>2812</v>
      </c>
      <c r="I151" s="11" t="s">
        <v>415</v>
      </c>
      <c r="J151" s="11" t="s">
        <v>416</v>
      </c>
      <c r="K151" s="2" t="s">
        <v>400</v>
      </c>
      <c r="L151" s="2"/>
      <c r="M151" s="11" t="s">
        <v>71</v>
      </c>
      <c r="N151" s="2" t="s">
        <v>165</v>
      </c>
      <c r="O151" s="2"/>
    </row>
    <row r="152" spans="1:15" ht="15" x14ac:dyDescent="0.2">
      <c r="A152" s="2" t="s">
        <v>2002</v>
      </c>
      <c r="B152" s="2" t="s">
        <v>2015</v>
      </c>
      <c r="C152" s="2" t="str">
        <f t="shared" si="0"/>
        <v>circumfix</v>
      </c>
      <c r="D152" s="11" t="s">
        <v>2009</v>
      </c>
      <c r="E152" s="2" t="str">
        <f t="shared" si="1"/>
        <v>What is the root word of the inflected word \"pinaglabanan\"?</v>
      </c>
      <c r="F152" s="2" t="str">
        <f t="shared" si="2"/>
        <v>Ano ang salitang-ugat ng nilapiang salita na \"pinaglabanan\"?</v>
      </c>
      <c r="G152" s="2" t="str">
        <f t="shared" si="3"/>
        <v>laban</v>
      </c>
      <c r="H152" s="19" t="s">
        <v>2813</v>
      </c>
      <c r="I152" s="11" t="s">
        <v>417</v>
      </c>
      <c r="J152" s="11" t="s">
        <v>105</v>
      </c>
      <c r="K152" s="11" t="s">
        <v>418</v>
      </c>
      <c r="L152" s="11"/>
      <c r="M152" s="11" t="s">
        <v>419</v>
      </c>
      <c r="N152" s="2" t="s">
        <v>165</v>
      </c>
      <c r="O152" s="2"/>
    </row>
    <row r="153" spans="1:15" ht="15" x14ac:dyDescent="0.2">
      <c r="A153" s="2" t="s">
        <v>2002</v>
      </c>
      <c r="B153" s="2" t="s">
        <v>2015</v>
      </c>
      <c r="C153" s="2" t="str">
        <f t="shared" si="0"/>
        <v>circumfix</v>
      </c>
      <c r="D153" s="11" t="s">
        <v>2009</v>
      </c>
      <c r="E153" s="2" t="str">
        <f t="shared" si="1"/>
        <v>What is the root word of the inflected word \"pagsabihan\"?</v>
      </c>
      <c r="F153" s="2" t="str">
        <f t="shared" si="2"/>
        <v>Ano ang salitang-ugat ng nilapiang salita na \"pagsabihan\"?</v>
      </c>
      <c r="G153" s="2" t="str">
        <f t="shared" si="3"/>
        <v>sabi</v>
      </c>
      <c r="H153" s="19" t="s">
        <v>2814</v>
      </c>
      <c r="I153" s="11" t="s">
        <v>420</v>
      </c>
      <c r="J153" s="11" t="s">
        <v>313</v>
      </c>
      <c r="K153" s="11" t="s">
        <v>421</v>
      </c>
      <c r="L153" s="11"/>
      <c r="M153" s="11" t="s">
        <v>419</v>
      </c>
      <c r="N153" s="2" t="s">
        <v>165</v>
      </c>
      <c r="O153" s="2"/>
    </row>
    <row r="154" spans="1:15" ht="15" x14ac:dyDescent="0.2">
      <c r="A154" s="2" t="s">
        <v>2002</v>
      </c>
      <c r="B154" s="2" t="s">
        <v>2015</v>
      </c>
      <c r="C154" s="2" t="str">
        <f t="shared" si="0"/>
        <v>circumfix</v>
      </c>
      <c r="D154" s="11" t="s">
        <v>2008</v>
      </c>
      <c r="E154" s="2" t="str">
        <f t="shared" si="1"/>
        <v>What is the root word of the inflected word \"pagtulungan\"?</v>
      </c>
      <c r="F154" s="2" t="str">
        <f t="shared" si="2"/>
        <v>Ano ang salitang-ugat ng nilapiang salita na \"pagtulungan\"?</v>
      </c>
      <c r="G154" s="2" t="str">
        <f t="shared" si="3"/>
        <v>tulong</v>
      </c>
      <c r="H154" s="19" t="s">
        <v>2815</v>
      </c>
      <c r="I154" s="11" t="s">
        <v>422</v>
      </c>
      <c r="J154" s="11" t="s">
        <v>423</v>
      </c>
      <c r="K154" s="11" t="s">
        <v>424</v>
      </c>
      <c r="L154" s="11"/>
      <c r="M154" s="11" t="s">
        <v>419</v>
      </c>
      <c r="N154" s="2" t="s">
        <v>224</v>
      </c>
    </row>
    <row r="155" spans="1:15" ht="15" x14ac:dyDescent="0.2">
      <c r="A155" s="2" t="s">
        <v>2002</v>
      </c>
      <c r="B155" s="2" t="s">
        <v>2015</v>
      </c>
      <c r="C155" s="2" t="str">
        <f t="shared" si="0"/>
        <v>circumfix</v>
      </c>
      <c r="D155" s="11" t="s">
        <v>2009</v>
      </c>
      <c r="E155" s="2" t="str">
        <f t="shared" si="1"/>
        <v>What is the root word of the inflected word \"magtawagan\"?</v>
      </c>
      <c r="F155" s="2" t="str">
        <f t="shared" si="2"/>
        <v>Ano ang salitang-ugat ng nilapiang salita na \"magtawagan\"?</v>
      </c>
      <c r="G155" s="2" t="str">
        <f t="shared" si="3"/>
        <v>tawag</v>
      </c>
      <c r="H155" s="19" t="s">
        <v>2816</v>
      </c>
      <c r="I155" s="11" t="s">
        <v>425</v>
      </c>
      <c r="J155" s="11" t="s">
        <v>426</v>
      </c>
      <c r="K155" s="11" t="s">
        <v>427</v>
      </c>
      <c r="L155" s="11"/>
      <c r="M155" s="11" t="s">
        <v>419</v>
      </c>
      <c r="N155" s="2" t="s">
        <v>165</v>
      </c>
      <c r="O155" s="2"/>
    </row>
    <row r="156" spans="1:15" ht="15" x14ac:dyDescent="0.2">
      <c r="A156" s="2" t="s">
        <v>2002</v>
      </c>
      <c r="B156" s="2" t="s">
        <v>2015</v>
      </c>
      <c r="C156" s="2" t="str">
        <f t="shared" si="0"/>
        <v>circumfix</v>
      </c>
      <c r="D156" s="11" t="s">
        <v>2008</v>
      </c>
      <c r="E156" s="2" t="str">
        <f t="shared" si="1"/>
        <v>What is the root word of the inflected word \"magtulungan\"?</v>
      </c>
      <c r="F156" s="2" t="str">
        <f t="shared" si="2"/>
        <v>Ano ang salitang-ugat ng nilapiang salita na \"magtulungan\"?</v>
      </c>
      <c r="G156" s="2" t="str">
        <f t="shared" si="3"/>
        <v>tulong</v>
      </c>
      <c r="H156" s="19" t="s">
        <v>2817</v>
      </c>
      <c r="I156" s="11" t="s">
        <v>428</v>
      </c>
      <c r="J156" s="11" t="s">
        <v>423</v>
      </c>
      <c r="K156" s="11" t="s">
        <v>427</v>
      </c>
      <c r="L156" s="11"/>
      <c r="M156" s="11" t="s">
        <v>419</v>
      </c>
      <c r="N156" s="2" t="s">
        <v>224</v>
      </c>
    </row>
    <row r="157" spans="1:15" ht="15" x14ac:dyDescent="0.2">
      <c r="A157" s="2" t="s">
        <v>2002</v>
      </c>
      <c r="B157" s="2" t="s">
        <v>2015</v>
      </c>
      <c r="C157" s="2" t="str">
        <f t="shared" si="0"/>
        <v>circumfix</v>
      </c>
      <c r="D157" s="11" t="s">
        <v>2009</v>
      </c>
      <c r="E157" s="2" t="str">
        <f t="shared" si="1"/>
        <v>What is the root word of the inflected word \"nagkampihan\"?</v>
      </c>
      <c r="F157" s="2" t="str">
        <f t="shared" si="2"/>
        <v>Ano ang salitang-ugat ng nilapiang salita na \"nagkampihan\"?</v>
      </c>
      <c r="G157" s="2" t="str">
        <f t="shared" si="3"/>
        <v>kampi</v>
      </c>
      <c r="H157" s="19" t="s">
        <v>2818</v>
      </c>
      <c r="I157" s="11" t="s">
        <v>429</v>
      </c>
      <c r="J157" s="11" t="s">
        <v>430</v>
      </c>
      <c r="K157" s="11" t="s">
        <v>431</v>
      </c>
      <c r="L157" s="11"/>
      <c r="M157" s="11" t="s">
        <v>419</v>
      </c>
      <c r="N157" s="2" t="s">
        <v>165</v>
      </c>
      <c r="O157" s="2"/>
    </row>
    <row r="158" spans="1:15" ht="15" x14ac:dyDescent="0.2">
      <c r="A158" s="2" t="s">
        <v>2002</v>
      </c>
      <c r="B158" s="2" t="s">
        <v>2015</v>
      </c>
      <c r="C158" s="2" t="str">
        <f t="shared" si="0"/>
        <v>circumfix</v>
      </c>
      <c r="D158" s="11" t="s">
        <v>2009</v>
      </c>
      <c r="E158" s="2" t="str">
        <f t="shared" si="1"/>
        <v>What is the root word of the inflected word \"nagsisihan\"?</v>
      </c>
      <c r="F158" s="2" t="str">
        <f t="shared" si="2"/>
        <v>Ano ang salitang-ugat ng nilapiang salita na \"nagsisihan\"?</v>
      </c>
      <c r="G158" s="2" t="str">
        <f t="shared" si="3"/>
        <v>sisi</v>
      </c>
      <c r="H158" s="19" t="s">
        <v>2819</v>
      </c>
      <c r="I158" s="11" t="s">
        <v>432</v>
      </c>
      <c r="J158" s="11" t="s">
        <v>311</v>
      </c>
      <c r="K158" s="11" t="s">
        <v>431</v>
      </c>
      <c r="L158" s="11"/>
      <c r="M158" s="11" t="s">
        <v>419</v>
      </c>
      <c r="N158" s="2" t="s">
        <v>165</v>
      </c>
      <c r="O158" s="2"/>
    </row>
    <row r="159" spans="1:15" ht="15" x14ac:dyDescent="0.2">
      <c r="A159" s="2" t="s">
        <v>2002</v>
      </c>
      <c r="B159" s="2" t="s">
        <v>2015</v>
      </c>
      <c r="C159" s="2" t="str">
        <f t="shared" si="0"/>
        <v>circumfix</v>
      </c>
      <c r="D159" s="11" t="s">
        <v>2009</v>
      </c>
      <c r="E159" s="2" t="str">
        <f t="shared" si="1"/>
        <v>What is the root word of the inflected word \"nakipaglandian\"?</v>
      </c>
      <c r="F159" s="2" t="str">
        <f t="shared" si="2"/>
        <v>Ano ang salitang-ugat ng nilapiang salita na \"nakipaglandian\"?</v>
      </c>
      <c r="G159" s="2" t="str">
        <f t="shared" si="3"/>
        <v>landi</v>
      </c>
      <c r="H159" s="19" t="s">
        <v>2820</v>
      </c>
      <c r="I159" s="11" t="s">
        <v>433</v>
      </c>
      <c r="J159" s="11" t="s">
        <v>434</v>
      </c>
      <c r="K159" s="11" t="s">
        <v>435</v>
      </c>
      <c r="L159" s="11"/>
      <c r="M159" s="11" t="s">
        <v>419</v>
      </c>
      <c r="N159" s="2" t="s">
        <v>165</v>
      </c>
      <c r="O159" s="2"/>
    </row>
    <row r="160" spans="1:15" ht="15" x14ac:dyDescent="0.2">
      <c r="A160" s="2" t="s">
        <v>2002</v>
      </c>
      <c r="B160" s="2" t="s">
        <v>2015</v>
      </c>
      <c r="C160" s="2" t="str">
        <f t="shared" si="0"/>
        <v>circumfix</v>
      </c>
      <c r="D160" s="11" t="s">
        <v>2008</v>
      </c>
      <c r="E160" s="2" t="str">
        <f t="shared" si="1"/>
        <v>What is the root word of the inflected word \"nakipagsagutan\"?</v>
      </c>
      <c r="F160" s="2" t="str">
        <f t="shared" si="2"/>
        <v>Ano ang salitang-ugat ng nilapiang salita na \"nakipagsagutan\"?</v>
      </c>
      <c r="G160" s="2" t="str">
        <f t="shared" si="3"/>
        <v>sagot</v>
      </c>
      <c r="H160" s="19" t="s">
        <v>2821</v>
      </c>
      <c r="I160" s="11" t="s">
        <v>436</v>
      </c>
      <c r="J160" s="11" t="s">
        <v>195</v>
      </c>
      <c r="K160" s="11" t="s">
        <v>435</v>
      </c>
      <c r="L160" s="11"/>
      <c r="M160" s="11" t="s">
        <v>419</v>
      </c>
      <c r="N160" s="2" t="s">
        <v>224</v>
      </c>
    </row>
    <row r="161" spans="1:15" ht="15" x14ac:dyDescent="0.2">
      <c r="A161" s="2" t="s">
        <v>2002</v>
      </c>
      <c r="B161" s="2" t="s">
        <v>2015</v>
      </c>
      <c r="C161" s="2" t="str">
        <f t="shared" si="0"/>
        <v>circumfix</v>
      </c>
      <c r="D161" s="11" t="s">
        <v>2009</v>
      </c>
      <c r="E161" s="2" t="str">
        <f t="shared" si="1"/>
        <v>What is the root word of the inflected word \"makipag-unahan\"?</v>
      </c>
      <c r="F161" s="2" t="str">
        <f t="shared" si="2"/>
        <v>Ano ang salitang-ugat ng nilapiang salita na \"makipag-unahan\"?</v>
      </c>
      <c r="G161" s="2" t="str">
        <f t="shared" si="3"/>
        <v>una</v>
      </c>
      <c r="H161" s="19" t="s">
        <v>2822</v>
      </c>
      <c r="I161" s="11" t="s">
        <v>437</v>
      </c>
      <c r="J161" s="11" t="s">
        <v>319</v>
      </c>
      <c r="K161" s="11" t="s">
        <v>438</v>
      </c>
      <c r="L161" s="11" t="s">
        <v>439</v>
      </c>
      <c r="M161" s="11" t="s">
        <v>419</v>
      </c>
      <c r="N161" s="2" t="s">
        <v>165</v>
      </c>
      <c r="O161" s="2"/>
    </row>
    <row r="162" spans="1:15" ht="15" x14ac:dyDescent="0.2">
      <c r="A162" s="2" t="s">
        <v>2002</v>
      </c>
      <c r="B162" s="2" t="s">
        <v>2015</v>
      </c>
      <c r="C162" s="2" t="str">
        <f t="shared" si="0"/>
        <v>circumfix</v>
      </c>
      <c r="D162" s="11" t="s">
        <v>2009</v>
      </c>
      <c r="E162" s="2" t="str">
        <f t="shared" si="1"/>
        <v>What is the root word of the inflected word \"makipagpalitan\"?</v>
      </c>
      <c r="F162" s="2" t="str">
        <f t="shared" si="2"/>
        <v>Ano ang salitang-ugat ng nilapiang salita na \"makipagpalitan\"?</v>
      </c>
      <c r="G162" s="2" t="str">
        <f t="shared" si="3"/>
        <v>palit</v>
      </c>
      <c r="H162" s="19" t="s">
        <v>2823</v>
      </c>
      <c r="I162" s="11" t="s">
        <v>440</v>
      </c>
      <c r="J162" s="11" t="s">
        <v>441</v>
      </c>
      <c r="K162" s="11" t="s">
        <v>439</v>
      </c>
      <c r="L162" s="11"/>
      <c r="M162" s="11" t="s">
        <v>419</v>
      </c>
      <c r="N162" s="2" t="s">
        <v>165</v>
      </c>
      <c r="O162" s="2"/>
    </row>
    <row r="163" spans="1:15" ht="15" x14ac:dyDescent="0.2">
      <c r="A163" s="2" t="s">
        <v>2002</v>
      </c>
      <c r="B163" s="2" t="s">
        <v>2015</v>
      </c>
      <c r="C163" s="2" t="str">
        <f t="shared" si="0"/>
        <v>circumfix</v>
      </c>
      <c r="D163" s="11" t="s">
        <v>2009</v>
      </c>
      <c r="E163" s="2" t="str">
        <f t="shared" si="1"/>
        <v>What is the root word of the inflected word \"makipagsapakan\"?</v>
      </c>
      <c r="F163" s="2" t="str">
        <f t="shared" si="2"/>
        <v>Ano ang salitang-ugat ng nilapiang salita na \"makipagsapakan\"?</v>
      </c>
      <c r="G163" s="2" t="str">
        <f t="shared" si="3"/>
        <v>sapak</v>
      </c>
      <c r="H163" s="19" t="s">
        <v>2824</v>
      </c>
      <c r="I163" s="11" t="s">
        <v>442</v>
      </c>
      <c r="J163" s="11" t="s">
        <v>443</v>
      </c>
      <c r="K163" s="11" t="s">
        <v>439</v>
      </c>
      <c r="L163" s="11"/>
      <c r="M163" s="11" t="s">
        <v>419</v>
      </c>
      <c r="N163" s="2" t="s">
        <v>165</v>
      </c>
      <c r="O163" s="2"/>
    </row>
    <row r="164" spans="1:15" ht="15" x14ac:dyDescent="0.2">
      <c r="A164" s="2" t="s">
        <v>2002</v>
      </c>
      <c r="B164" s="2" t="s">
        <v>2015</v>
      </c>
      <c r="C164" s="2" t="str">
        <f t="shared" si="0"/>
        <v>circumfix</v>
      </c>
      <c r="D164" s="11" t="s">
        <v>2010</v>
      </c>
      <c r="E164" s="2" t="str">
        <f t="shared" si="1"/>
        <v>What is the root word of the inflected word \"malaman\"?</v>
      </c>
      <c r="F164" s="2" t="str">
        <f t="shared" si="2"/>
        <v>Ano ang salitang-ugat ng nilapiang salita na \"malaman\"?</v>
      </c>
      <c r="G164" s="2" t="str">
        <f t="shared" si="3"/>
        <v>alam</v>
      </c>
      <c r="H164" s="19" t="s">
        <v>2825</v>
      </c>
      <c r="I164" s="11" t="s">
        <v>444</v>
      </c>
      <c r="J164" s="11" t="s">
        <v>445</v>
      </c>
      <c r="K164" s="11" t="s">
        <v>446</v>
      </c>
      <c r="L164" s="11"/>
      <c r="M164" s="11" t="s">
        <v>419</v>
      </c>
      <c r="N164" s="2" t="s">
        <v>447</v>
      </c>
    </row>
    <row r="165" spans="1:15" ht="15" x14ac:dyDescent="0.2">
      <c r="A165" s="2" t="s">
        <v>2002</v>
      </c>
      <c r="B165" s="2" t="s">
        <v>2015</v>
      </c>
      <c r="C165" s="2" t="str">
        <f t="shared" si="0"/>
        <v>circumfix</v>
      </c>
      <c r="D165" s="11" t="s">
        <v>2008</v>
      </c>
      <c r="E165" s="2" t="str">
        <f t="shared" si="1"/>
        <v>What is the root word of the inflected word \"matutuhan\"?</v>
      </c>
      <c r="F165" s="2" t="str">
        <f t="shared" si="2"/>
        <v>Ano ang salitang-ugat ng nilapiang salita na \"matutuhan\"?</v>
      </c>
      <c r="G165" s="2" t="str">
        <f t="shared" si="3"/>
        <v>tuto</v>
      </c>
      <c r="H165" s="19" t="s">
        <v>2826</v>
      </c>
      <c r="I165" s="11" t="s">
        <v>448</v>
      </c>
      <c r="J165" s="11" t="s">
        <v>449</v>
      </c>
      <c r="K165" s="11" t="s">
        <v>450</v>
      </c>
      <c r="L165" s="11" t="s">
        <v>446</v>
      </c>
      <c r="M165" s="11" t="s">
        <v>419</v>
      </c>
      <c r="N165" s="2" t="s">
        <v>224</v>
      </c>
    </row>
    <row r="166" spans="1:15" ht="15" x14ac:dyDescent="0.2">
      <c r="A166" s="2" t="s">
        <v>2002</v>
      </c>
      <c r="B166" s="2" t="s">
        <v>2015</v>
      </c>
      <c r="C166" s="2" t="str">
        <f t="shared" si="0"/>
        <v>circumfix</v>
      </c>
      <c r="D166" s="11" t="s">
        <v>2008</v>
      </c>
      <c r="E166" s="2" t="str">
        <f t="shared" si="1"/>
        <v>What is the root word of the inflected word \"patulugin\"?</v>
      </c>
      <c r="F166" s="2" t="str">
        <f t="shared" si="2"/>
        <v>Ano ang salitang-ugat ng nilapiang salita na \"patulugin\"?</v>
      </c>
      <c r="G166" s="2" t="str">
        <f t="shared" si="3"/>
        <v>tulog</v>
      </c>
      <c r="H166" s="19" t="s">
        <v>2827</v>
      </c>
      <c r="I166" s="11" t="s">
        <v>451</v>
      </c>
      <c r="J166" s="11" t="s">
        <v>452</v>
      </c>
      <c r="K166" s="11" t="s">
        <v>453</v>
      </c>
      <c r="L166" s="11"/>
      <c r="M166" s="11" t="s">
        <v>419</v>
      </c>
      <c r="N166" s="2" t="s">
        <v>224</v>
      </c>
    </row>
    <row r="167" spans="1:15" ht="15" x14ac:dyDescent="0.2">
      <c r="A167" s="2" t="s">
        <v>2002</v>
      </c>
      <c r="B167" s="2" t="s">
        <v>2015</v>
      </c>
      <c r="C167" s="2" t="str">
        <f t="shared" si="0"/>
        <v>circumfix</v>
      </c>
      <c r="D167" s="11" t="s">
        <v>2008</v>
      </c>
      <c r="E167" s="2" t="str">
        <f t="shared" si="1"/>
        <v>What is the root word of the inflected word \"papasukin\"?</v>
      </c>
      <c r="F167" s="2" t="str">
        <f t="shared" si="2"/>
        <v>Ano ang salitang-ugat ng nilapiang salita na \"papasukin\"?</v>
      </c>
      <c r="G167" s="2" t="str">
        <f t="shared" si="3"/>
        <v>pasok</v>
      </c>
      <c r="H167" s="19" t="s">
        <v>2828</v>
      </c>
      <c r="I167" s="11" t="s">
        <v>454</v>
      </c>
      <c r="J167" s="11" t="s">
        <v>395</v>
      </c>
      <c r="K167" s="11" t="s">
        <v>453</v>
      </c>
      <c r="L167" s="11"/>
      <c r="M167" s="11" t="s">
        <v>419</v>
      </c>
      <c r="N167" s="2" t="s">
        <v>224</v>
      </c>
    </row>
    <row r="168" spans="1:15" ht="15" x14ac:dyDescent="0.2">
      <c r="A168" s="2" t="s">
        <v>2002</v>
      </c>
      <c r="B168" s="2" t="s">
        <v>2015</v>
      </c>
      <c r="C168" s="2" t="str">
        <f t="shared" si="0"/>
        <v>circumfix</v>
      </c>
      <c r="D168" s="11" t="s">
        <v>2009</v>
      </c>
      <c r="E168" s="2" t="str">
        <f t="shared" si="1"/>
        <v>What is the root word of the inflected word \"paglinisin\"?</v>
      </c>
      <c r="F168" s="2" t="str">
        <f t="shared" si="2"/>
        <v>Ano ang salitang-ugat ng nilapiang salita na \"paglinisin\"?</v>
      </c>
      <c r="G168" s="2" t="str">
        <f t="shared" si="3"/>
        <v>linis</v>
      </c>
      <c r="H168" s="19" t="s">
        <v>2829</v>
      </c>
      <c r="I168" s="11" t="s">
        <v>455</v>
      </c>
      <c r="J168" s="11" t="s">
        <v>210</v>
      </c>
      <c r="K168" s="11" t="s">
        <v>456</v>
      </c>
      <c r="L168" s="11"/>
      <c r="M168" s="11" t="s">
        <v>419</v>
      </c>
      <c r="N168" s="2" t="s">
        <v>165</v>
      </c>
      <c r="O168" s="2"/>
    </row>
    <row r="169" spans="1:15" ht="15" x14ac:dyDescent="0.2">
      <c r="A169" s="2" t="s">
        <v>2002</v>
      </c>
      <c r="B169" s="2" t="s">
        <v>2015</v>
      </c>
      <c r="C169" s="2" t="str">
        <f t="shared" si="0"/>
        <v>circumfix</v>
      </c>
      <c r="D169" s="11" t="s">
        <v>2009</v>
      </c>
      <c r="E169" s="2" t="str">
        <f t="shared" si="1"/>
        <v>What is the root word of the inflected word \"pag-aralin\"?</v>
      </c>
      <c r="F169" s="2" t="str">
        <f t="shared" si="2"/>
        <v>Ano ang salitang-ugat ng nilapiang salita na \"pag-aralin\"?</v>
      </c>
      <c r="G169" s="2" t="str">
        <f t="shared" si="3"/>
        <v>aral</v>
      </c>
      <c r="H169" s="19" t="s">
        <v>2830</v>
      </c>
      <c r="I169" s="11" t="s">
        <v>457</v>
      </c>
      <c r="J169" s="11" t="s">
        <v>168</v>
      </c>
      <c r="K169" s="11" t="s">
        <v>456</v>
      </c>
      <c r="L169" s="11"/>
      <c r="M169" s="11" t="s">
        <v>419</v>
      </c>
      <c r="N169" s="2" t="s">
        <v>165</v>
      </c>
      <c r="O169" s="2"/>
    </row>
    <row r="170" spans="1:15" ht="15" x14ac:dyDescent="0.2">
      <c r="A170" s="2" t="s">
        <v>2002</v>
      </c>
      <c r="B170" s="2" t="s">
        <v>2015</v>
      </c>
      <c r="C170" s="2" t="str">
        <f t="shared" si="0"/>
        <v>circumfix</v>
      </c>
      <c r="D170" s="11" t="s">
        <v>2009</v>
      </c>
      <c r="E170" s="2" t="str">
        <f t="shared" si="1"/>
        <v>What is the root word of the inflected word \"palakasan\"?</v>
      </c>
      <c r="F170" s="2" t="str">
        <f t="shared" si="2"/>
        <v>Ano ang salitang-ugat ng nilapiang salita na \"palakasan\"?</v>
      </c>
      <c r="G170" s="2" t="str">
        <f t="shared" si="3"/>
        <v>lakas</v>
      </c>
      <c r="H170" s="19" t="s">
        <v>2831</v>
      </c>
      <c r="I170" s="11" t="s">
        <v>458</v>
      </c>
      <c r="J170" s="11" t="s">
        <v>459</v>
      </c>
      <c r="K170" s="11" t="s">
        <v>460</v>
      </c>
      <c r="L170" s="11"/>
      <c r="M170" s="11" t="s">
        <v>419</v>
      </c>
      <c r="N170" s="2" t="s">
        <v>165</v>
      </c>
      <c r="O170" s="2"/>
    </row>
    <row r="171" spans="1:15" ht="15" x14ac:dyDescent="0.2">
      <c r="A171" s="2" t="s">
        <v>2002</v>
      </c>
      <c r="B171" s="2" t="s">
        <v>2015</v>
      </c>
      <c r="C171" s="2" t="str">
        <f t="shared" si="0"/>
        <v>circumfix</v>
      </c>
      <c r="D171" s="11" t="s">
        <v>2009</v>
      </c>
      <c r="E171" s="2" t="str">
        <f t="shared" si="1"/>
        <v>What is the root word of the inflected word \"patawagan\"?</v>
      </c>
      <c r="F171" s="2" t="str">
        <f t="shared" si="2"/>
        <v>Ano ang salitang-ugat ng nilapiang salita na \"patawagan\"?</v>
      </c>
      <c r="G171" s="2" t="str">
        <f t="shared" si="3"/>
        <v>tawag</v>
      </c>
      <c r="H171" s="19" t="s">
        <v>2832</v>
      </c>
      <c r="I171" s="11" t="s">
        <v>461</v>
      </c>
      <c r="J171" s="11" t="s">
        <v>426</v>
      </c>
      <c r="K171" s="11" t="s">
        <v>460</v>
      </c>
      <c r="L171" s="11"/>
      <c r="M171" s="11" t="s">
        <v>419</v>
      </c>
      <c r="N171" s="2" t="s">
        <v>165</v>
      </c>
      <c r="O171" s="2"/>
    </row>
    <row r="172" spans="1:15" ht="15" x14ac:dyDescent="0.2">
      <c r="A172" s="2" t="s">
        <v>2002</v>
      </c>
      <c r="B172" s="2" t="s">
        <v>2015</v>
      </c>
      <c r="C172" s="2" t="s">
        <v>2012</v>
      </c>
      <c r="D172" s="11" t="s">
        <v>2009</v>
      </c>
      <c r="E172" s="2" t="str">
        <f t="shared" si="1"/>
        <v>What is the root word of the inflected word \"sinulatan\"?</v>
      </c>
      <c r="F172" s="2" t="str">
        <f t="shared" si="2"/>
        <v>Ano ang salitang-ugat ng nilapiang salita na \"sinulatan\"?</v>
      </c>
      <c r="G172" s="2" t="str">
        <f t="shared" si="3"/>
        <v>sulat</v>
      </c>
      <c r="H172" s="19" t="s">
        <v>2833</v>
      </c>
      <c r="I172" s="2" t="s">
        <v>462</v>
      </c>
      <c r="J172" s="2" t="s">
        <v>285</v>
      </c>
      <c r="K172" s="2" t="s">
        <v>463</v>
      </c>
      <c r="L172" s="2"/>
      <c r="M172" s="2" t="s">
        <v>464</v>
      </c>
      <c r="N172" s="2" t="s">
        <v>165</v>
      </c>
      <c r="O172" s="2"/>
    </row>
    <row r="173" spans="1:15" ht="15" x14ac:dyDescent="0.2">
      <c r="A173" s="2" t="s">
        <v>2002</v>
      </c>
      <c r="B173" s="2" t="s">
        <v>2015</v>
      </c>
      <c r="C173" s="2" t="s">
        <v>2012</v>
      </c>
      <c r="D173" s="11" t="s">
        <v>2009</v>
      </c>
      <c r="E173" s="2" t="str">
        <f t="shared" si="1"/>
        <v>What is the root word of the inflected word \"dinampian\"?</v>
      </c>
      <c r="F173" s="2" t="str">
        <f t="shared" si="2"/>
        <v>Ano ang salitang-ugat ng nilapiang salita na \"dinampian\"?</v>
      </c>
      <c r="G173" s="2" t="str">
        <f t="shared" si="3"/>
        <v>dampi</v>
      </c>
      <c r="H173" s="19" t="s">
        <v>2834</v>
      </c>
      <c r="I173" s="2" t="s">
        <v>465</v>
      </c>
      <c r="J173" s="2" t="s">
        <v>466</v>
      </c>
      <c r="K173" s="2" t="s">
        <v>463</v>
      </c>
      <c r="L173" s="2"/>
      <c r="M173" s="2" t="s">
        <v>464</v>
      </c>
      <c r="N173" s="2" t="s">
        <v>165</v>
      </c>
      <c r="O173" s="2"/>
    </row>
    <row r="174" spans="1:15" ht="15" x14ac:dyDescent="0.2">
      <c r="A174" s="2" t="s">
        <v>2002</v>
      </c>
      <c r="B174" s="2" t="s">
        <v>2015</v>
      </c>
      <c r="C174" s="2" t="s">
        <v>2012</v>
      </c>
      <c r="D174" s="11" t="s">
        <v>2008</v>
      </c>
      <c r="E174" s="2" t="str">
        <f t="shared" si="1"/>
        <v>What is the root word of the inflected word \"pinayungan\"?</v>
      </c>
      <c r="F174" s="2" t="str">
        <f t="shared" si="2"/>
        <v>Ano ang salitang-ugat ng nilapiang salita na \"pinayungan\"?</v>
      </c>
      <c r="G174" s="2" t="str">
        <f t="shared" si="3"/>
        <v>payong</v>
      </c>
      <c r="H174" s="19" t="s">
        <v>2835</v>
      </c>
      <c r="I174" s="2" t="s">
        <v>467</v>
      </c>
      <c r="J174" s="2" t="s">
        <v>468</v>
      </c>
      <c r="K174" s="2" t="s">
        <v>463</v>
      </c>
      <c r="L174" s="2"/>
      <c r="M174" s="2" t="s">
        <v>464</v>
      </c>
      <c r="N174" s="2" t="s">
        <v>224</v>
      </c>
    </row>
    <row r="175" spans="1:15" ht="13" x14ac:dyDescent="0.15">
      <c r="A175" s="2" t="s">
        <v>2002</v>
      </c>
      <c r="B175" s="2" t="s">
        <v>2015</v>
      </c>
      <c r="C175" s="2" t="s">
        <v>2012</v>
      </c>
      <c r="D175" s="2" t="s">
        <v>2011</v>
      </c>
      <c r="E175" s="2" t="str">
        <f t="shared" si="1"/>
        <v>What is the root word of the inflected word \"niyurakan\"?</v>
      </c>
      <c r="F175" s="2" t="str">
        <f t="shared" si="2"/>
        <v>Ano ang salitang-ugat ng nilapiang salita na \"niyurakan\"?</v>
      </c>
      <c r="G175" s="2" t="str">
        <f t="shared" si="3"/>
        <v>yurak</v>
      </c>
      <c r="H175" s="19" t="s">
        <v>2836</v>
      </c>
      <c r="I175" s="2" t="s">
        <v>469</v>
      </c>
      <c r="J175" s="2" t="s">
        <v>470</v>
      </c>
      <c r="K175" s="2" t="s">
        <v>463</v>
      </c>
      <c r="L175" s="2"/>
      <c r="M175" s="2" t="s">
        <v>464</v>
      </c>
      <c r="N175" s="2" t="s">
        <v>322</v>
      </c>
    </row>
    <row r="176" spans="1:15" ht="13" x14ac:dyDescent="0.15">
      <c r="A176" s="2" t="s">
        <v>2002</v>
      </c>
      <c r="B176" s="2" t="s">
        <v>2015</v>
      </c>
      <c r="C176" s="2" t="s">
        <v>2012</v>
      </c>
      <c r="D176" s="2" t="s">
        <v>2011</v>
      </c>
      <c r="E176" s="2" t="str">
        <f t="shared" si="1"/>
        <v>What is the root word of the inflected word \"nilapitan\"?</v>
      </c>
      <c r="F176" s="2" t="str">
        <f t="shared" si="2"/>
        <v>Ano ang salitang-ugat ng nilapiang salita na \"nilapitan\"?</v>
      </c>
      <c r="G176" s="2" t="str">
        <f t="shared" si="3"/>
        <v>lapit</v>
      </c>
      <c r="H176" s="19" t="s">
        <v>2837</v>
      </c>
      <c r="I176" s="2" t="s">
        <v>471</v>
      </c>
      <c r="J176" s="2" t="s">
        <v>472</v>
      </c>
      <c r="K176" s="2" t="s">
        <v>463</v>
      </c>
      <c r="L176" s="2"/>
      <c r="M176" s="2" t="s">
        <v>464</v>
      </c>
      <c r="N176" s="2" t="s">
        <v>322</v>
      </c>
    </row>
    <row r="177" spans="1:15" ht="15" x14ac:dyDescent="0.2">
      <c r="A177" s="2" t="s">
        <v>2002</v>
      </c>
      <c r="B177" s="2" t="s">
        <v>2015</v>
      </c>
      <c r="C177" s="2" t="s">
        <v>2012</v>
      </c>
      <c r="D177" s="11" t="s">
        <v>2009</v>
      </c>
      <c r="E177" s="2" t="str">
        <f t="shared" si="1"/>
        <v>What is the root word of the inflected word \"hinawahan\"?</v>
      </c>
      <c r="F177" s="2" t="str">
        <f t="shared" si="2"/>
        <v>Ano ang salitang-ugat ng nilapiang salita na \"hinawahan\"?</v>
      </c>
      <c r="G177" s="2" t="str">
        <f t="shared" si="3"/>
        <v>hawa</v>
      </c>
      <c r="H177" s="19" t="s">
        <v>2838</v>
      </c>
      <c r="I177" s="2" t="s">
        <v>473</v>
      </c>
      <c r="J177" s="2" t="s">
        <v>474</v>
      </c>
      <c r="K177" s="2" t="s">
        <v>475</v>
      </c>
      <c r="L177" s="2" t="s">
        <v>463</v>
      </c>
      <c r="M177" s="2" t="s">
        <v>464</v>
      </c>
      <c r="N177" s="2" t="s">
        <v>165</v>
      </c>
      <c r="O177" s="2"/>
    </row>
    <row r="178" spans="1:15" ht="15" x14ac:dyDescent="0.2">
      <c r="A178" s="2" t="s">
        <v>2002</v>
      </c>
      <c r="B178" s="2" t="s">
        <v>2015</v>
      </c>
      <c r="C178" s="2" t="s">
        <v>2012</v>
      </c>
      <c r="D178" s="11" t="s">
        <v>2009</v>
      </c>
      <c r="E178" s="2" t="str">
        <f t="shared" si="1"/>
        <v>What is the root word of the inflected word \"pinuntahan\"?</v>
      </c>
      <c r="F178" s="2" t="str">
        <f t="shared" si="2"/>
        <v>Ano ang salitang-ugat ng nilapiang salita na \"pinuntahan\"?</v>
      </c>
      <c r="G178" s="2" t="str">
        <f t="shared" si="3"/>
        <v>punta</v>
      </c>
      <c r="H178" s="19" t="s">
        <v>2839</v>
      </c>
      <c r="I178" s="2" t="s">
        <v>476</v>
      </c>
      <c r="J178" s="2" t="s">
        <v>477</v>
      </c>
      <c r="K178" s="2" t="s">
        <v>475</v>
      </c>
      <c r="L178" s="2" t="s">
        <v>463</v>
      </c>
      <c r="M178" s="2" t="s">
        <v>464</v>
      </c>
      <c r="N178" s="2" t="s">
        <v>165</v>
      </c>
      <c r="O178" s="2"/>
    </row>
    <row r="179" spans="1:15" ht="13" x14ac:dyDescent="0.15">
      <c r="A179" s="2" t="s">
        <v>2002</v>
      </c>
      <c r="B179" s="2" t="s">
        <v>2015</v>
      </c>
      <c r="C179" s="2" t="s">
        <v>2012</v>
      </c>
      <c r="D179" s="2" t="s">
        <v>2011</v>
      </c>
      <c r="E179" s="2" t="str">
        <f t="shared" si="1"/>
        <v>What is the root word of the inflected word \"nilabahan\"?</v>
      </c>
      <c r="F179" s="2" t="str">
        <f t="shared" si="2"/>
        <v>Ano ang salitang-ugat ng nilapiang salita na \"nilabahan\"?</v>
      </c>
      <c r="G179" s="2" t="str">
        <f t="shared" si="3"/>
        <v>laba</v>
      </c>
      <c r="H179" s="19" t="s">
        <v>2840</v>
      </c>
      <c r="I179" s="2" t="s">
        <v>478</v>
      </c>
      <c r="J179" s="2" t="s">
        <v>479</v>
      </c>
      <c r="K179" s="2" t="s">
        <v>475</v>
      </c>
      <c r="L179" s="2" t="s">
        <v>463</v>
      </c>
      <c r="M179" s="2" t="s">
        <v>464</v>
      </c>
      <c r="N179" s="2" t="s">
        <v>322</v>
      </c>
    </row>
    <row r="180" spans="1:15" ht="15" x14ac:dyDescent="0.2">
      <c r="A180" s="2" t="s">
        <v>2002</v>
      </c>
      <c r="B180" s="2" t="s">
        <v>2015</v>
      </c>
      <c r="C180" s="2" t="s">
        <v>2012</v>
      </c>
      <c r="D180" s="11" t="s">
        <v>2008</v>
      </c>
      <c r="E180" s="2" t="str">
        <f t="shared" si="1"/>
        <v>What is the root word of the inflected word \"inayusan\"?</v>
      </c>
      <c r="F180" s="2" t="str">
        <f t="shared" si="2"/>
        <v>Ano ang salitang-ugat ng nilapiang salita na \"inayusan\"?</v>
      </c>
      <c r="G180" s="2" t="str">
        <f t="shared" si="3"/>
        <v>ayos</v>
      </c>
      <c r="H180" s="19" t="s">
        <v>2841</v>
      </c>
      <c r="I180" s="2" t="s">
        <v>480</v>
      </c>
      <c r="J180" s="2" t="s">
        <v>176</v>
      </c>
      <c r="K180" s="2" t="s">
        <v>475</v>
      </c>
      <c r="L180" s="2" t="s">
        <v>463</v>
      </c>
      <c r="M180" s="2" t="s">
        <v>464</v>
      </c>
      <c r="N180" s="2" t="s">
        <v>224</v>
      </c>
    </row>
    <row r="181" spans="1:15" ht="13" x14ac:dyDescent="0.15">
      <c r="A181" s="2" t="s">
        <v>2002</v>
      </c>
      <c r="B181" s="2" t="s">
        <v>2015</v>
      </c>
      <c r="C181" s="2" t="s">
        <v>2012</v>
      </c>
      <c r="D181" s="2" t="s">
        <v>2013</v>
      </c>
      <c r="E181" s="2" t="str">
        <f t="shared" si="1"/>
        <v>What is the root word of the inflected word \"niregaluhan\"?</v>
      </c>
      <c r="F181" s="2" t="str">
        <f t="shared" si="2"/>
        <v>Ano ang salitang-ugat ng nilapiang salita na \"niregaluhan\"?</v>
      </c>
      <c r="G181" s="2" t="str">
        <f t="shared" si="3"/>
        <v>regalo</v>
      </c>
      <c r="H181" s="19" t="s">
        <v>2842</v>
      </c>
      <c r="I181" s="2" t="s">
        <v>481</v>
      </c>
      <c r="J181" s="2" t="s">
        <v>482</v>
      </c>
      <c r="K181" s="2" t="s">
        <v>475</v>
      </c>
      <c r="L181" s="2" t="s">
        <v>463</v>
      </c>
      <c r="M181" s="2" t="s">
        <v>464</v>
      </c>
      <c r="N181" s="2" t="s">
        <v>483</v>
      </c>
    </row>
    <row r="182" spans="1:15" ht="15" x14ac:dyDescent="0.2">
      <c r="A182" s="2" t="s">
        <v>2002</v>
      </c>
      <c r="B182" s="2" t="s">
        <v>2015</v>
      </c>
      <c r="C182" s="2" t="s">
        <v>2018</v>
      </c>
      <c r="D182" s="11" t="s">
        <v>2009</v>
      </c>
      <c r="E182" s="2" t="str">
        <f t="shared" si="1"/>
        <v>What is the root word of the inflected word \"magsumikap\"?</v>
      </c>
      <c r="F182" s="2" t="str">
        <f t="shared" si="2"/>
        <v>Ano ang salitang-ugat ng nilapiang salita na \"magsumikap\"?</v>
      </c>
      <c r="G182" s="2" t="str">
        <f t="shared" si="3"/>
        <v>sikap</v>
      </c>
      <c r="H182" s="19" t="s">
        <v>2843</v>
      </c>
      <c r="I182" s="11" t="s">
        <v>484</v>
      </c>
      <c r="J182" s="11" t="s">
        <v>485</v>
      </c>
      <c r="K182" s="11" t="s">
        <v>486</v>
      </c>
      <c r="L182" s="11"/>
      <c r="M182" s="11" t="s">
        <v>487</v>
      </c>
      <c r="N182" s="2" t="s">
        <v>165</v>
      </c>
      <c r="O182" s="2"/>
    </row>
    <row r="183" spans="1:15" ht="15" x14ac:dyDescent="0.2">
      <c r="A183" s="2" t="s">
        <v>2002</v>
      </c>
      <c r="B183" s="2" t="s">
        <v>2015</v>
      </c>
      <c r="C183" s="2" t="s">
        <v>2018</v>
      </c>
      <c r="D183" s="11" t="s">
        <v>2009</v>
      </c>
      <c r="E183" s="2" t="str">
        <f t="shared" si="1"/>
        <v>What is the root word of the inflected word \"magpumilit\"?</v>
      </c>
      <c r="F183" s="2" t="str">
        <f t="shared" si="2"/>
        <v>Ano ang salitang-ugat ng nilapiang salita na \"magpumilit\"?</v>
      </c>
      <c r="G183" s="2" t="str">
        <f t="shared" si="3"/>
        <v>pilit</v>
      </c>
      <c r="H183" s="19" t="s">
        <v>2844</v>
      </c>
      <c r="I183" s="11" t="s">
        <v>488</v>
      </c>
      <c r="J183" s="11" t="s">
        <v>489</v>
      </c>
      <c r="K183" s="11" t="s">
        <v>486</v>
      </c>
      <c r="L183" s="11"/>
      <c r="M183" s="11" t="s">
        <v>487</v>
      </c>
      <c r="N183" s="2" t="s">
        <v>165</v>
      </c>
      <c r="O183" s="2"/>
    </row>
    <row r="184" spans="1:15" ht="15" x14ac:dyDescent="0.2">
      <c r="A184" s="2" t="s">
        <v>2002</v>
      </c>
      <c r="B184" s="2" t="s">
        <v>2015</v>
      </c>
      <c r="C184" s="2" t="s">
        <v>2018</v>
      </c>
      <c r="D184" s="11" t="s">
        <v>2009</v>
      </c>
      <c r="E184" s="2" t="str">
        <f t="shared" si="1"/>
        <v>What is the root word of the inflected word \"magpumiglas\"?</v>
      </c>
      <c r="F184" s="2" t="str">
        <f t="shared" si="2"/>
        <v>Ano ang salitang-ugat ng nilapiang salita na \"magpumiglas\"?</v>
      </c>
      <c r="G184" s="2" t="str">
        <f t="shared" si="3"/>
        <v>piglas</v>
      </c>
      <c r="H184" s="19" t="s">
        <v>2845</v>
      </c>
      <c r="I184" s="11" t="s">
        <v>490</v>
      </c>
      <c r="J184" s="11" t="s">
        <v>491</v>
      </c>
      <c r="K184" s="11" t="s">
        <v>486</v>
      </c>
      <c r="L184" s="11"/>
      <c r="M184" s="11" t="s">
        <v>487</v>
      </c>
      <c r="N184" s="2" t="s">
        <v>165</v>
      </c>
      <c r="O184" s="2"/>
    </row>
    <row r="185" spans="1:15" ht="15" x14ac:dyDescent="0.2">
      <c r="A185" s="2" t="s">
        <v>2002</v>
      </c>
      <c r="B185" s="2" t="s">
        <v>2015</v>
      </c>
      <c r="C185" s="2" t="s">
        <v>2018</v>
      </c>
      <c r="D185" s="11" t="s">
        <v>2009</v>
      </c>
      <c r="E185" s="2" t="str">
        <f t="shared" si="1"/>
        <v>What is the root word of the inflected word \"magkumahog\"?</v>
      </c>
      <c r="F185" s="2" t="str">
        <f t="shared" si="2"/>
        <v>Ano ang salitang-ugat ng nilapiang salita na \"magkumahog\"?</v>
      </c>
      <c r="G185" s="2" t="str">
        <f t="shared" si="3"/>
        <v>kahog</v>
      </c>
      <c r="H185" s="19" t="s">
        <v>2846</v>
      </c>
      <c r="I185" s="11" t="s">
        <v>492</v>
      </c>
      <c r="J185" s="11" t="s">
        <v>493</v>
      </c>
      <c r="K185" s="11" t="s">
        <v>486</v>
      </c>
      <c r="L185" s="11"/>
      <c r="M185" s="11" t="s">
        <v>487</v>
      </c>
      <c r="N185" s="2" t="s">
        <v>165</v>
      </c>
      <c r="O185" s="2"/>
    </row>
    <row r="186" spans="1:15" ht="15" x14ac:dyDescent="0.2">
      <c r="A186" s="2" t="s">
        <v>2002</v>
      </c>
      <c r="B186" s="2" t="s">
        <v>2015</v>
      </c>
      <c r="C186" s="2" t="s">
        <v>2018</v>
      </c>
      <c r="D186" s="11" t="s">
        <v>2009</v>
      </c>
      <c r="E186" s="2" t="str">
        <f t="shared" si="1"/>
        <v>What is the root word of the inflected word \"magsumamo\"?</v>
      </c>
      <c r="F186" s="2" t="str">
        <f t="shared" si="2"/>
        <v>Ano ang salitang-ugat ng nilapiang salita na \"magsumamo\"?</v>
      </c>
      <c r="G186" s="2" t="str">
        <f t="shared" si="3"/>
        <v>samo</v>
      </c>
      <c r="H186" s="19" t="s">
        <v>2847</v>
      </c>
      <c r="I186" s="11" t="s">
        <v>494</v>
      </c>
      <c r="J186" s="11" t="s">
        <v>495</v>
      </c>
      <c r="K186" s="11" t="s">
        <v>486</v>
      </c>
      <c r="L186" s="11"/>
      <c r="M186" s="11" t="s">
        <v>487</v>
      </c>
      <c r="N186" s="2" t="s">
        <v>165</v>
      </c>
      <c r="O186" s="2"/>
    </row>
    <row r="187" spans="1:15" ht="15" x14ac:dyDescent="0.2">
      <c r="A187" s="2" t="s">
        <v>2002</v>
      </c>
      <c r="B187" s="2" t="s">
        <v>2015</v>
      </c>
      <c r="C187" s="2" t="s">
        <v>2018</v>
      </c>
      <c r="D187" s="11" t="s">
        <v>2009</v>
      </c>
      <c r="E187" s="2" t="str">
        <f t="shared" si="1"/>
        <v>What is the root word of the inflected word \"nagsumikap\"?</v>
      </c>
      <c r="F187" s="2" t="str">
        <f t="shared" si="2"/>
        <v>Ano ang salitang-ugat ng nilapiang salita na \"nagsumikap\"?</v>
      </c>
      <c r="G187" s="2" t="str">
        <f t="shared" si="3"/>
        <v>sikap</v>
      </c>
      <c r="H187" s="19" t="s">
        <v>2848</v>
      </c>
      <c r="I187" s="11" t="s">
        <v>496</v>
      </c>
      <c r="J187" s="11" t="s">
        <v>485</v>
      </c>
      <c r="K187" s="11" t="s">
        <v>497</v>
      </c>
      <c r="L187" s="11"/>
      <c r="M187" s="11" t="s">
        <v>487</v>
      </c>
      <c r="N187" s="2" t="s">
        <v>165</v>
      </c>
      <c r="O187" s="2"/>
    </row>
    <row r="188" spans="1:15" ht="15" x14ac:dyDescent="0.2">
      <c r="A188" s="2" t="s">
        <v>2002</v>
      </c>
      <c r="B188" s="2" t="s">
        <v>2015</v>
      </c>
      <c r="C188" s="2" t="s">
        <v>2018</v>
      </c>
      <c r="D188" s="11" t="s">
        <v>2009</v>
      </c>
      <c r="E188" s="2" t="str">
        <f t="shared" si="1"/>
        <v>What is the root word of the inflected word \"nagpumilit\"?</v>
      </c>
      <c r="F188" s="2" t="str">
        <f t="shared" si="2"/>
        <v>Ano ang salitang-ugat ng nilapiang salita na \"nagpumilit\"?</v>
      </c>
      <c r="G188" s="2" t="str">
        <f t="shared" si="3"/>
        <v>pilit</v>
      </c>
      <c r="H188" s="19" t="s">
        <v>2849</v>
      </c>
      <c r="I188" s="11" t="s">
        <v>498</v>
      </c>
      <c r="J188" s="11" t="s">
        <v>489</v>
      </c>
      <c r="K188" s="11" t="s">
        <v>497</v>
      </c>
      <c r="L188" s="11"/>
      <c r="M188" s="11" t="s">
        <v>487</v>
      </c>
      <c r="N188" s="2" t="s">
        <v>165</v>
      </c>
      <c r="O188" s="2"/>
    </row>
    <row r="189" spans="1:15" ht="15" x14ac:dyDescent="0.2">
      <c r="A189" s="2" t="s">
        <v>2002</v>
      </c>
      <c r="B189" s="2" t="s">
        <v>2015</v>
      </c>
      <c r="C189" s="2" t="s">
        <v>2018</v>
      </c>
      <c r="D189" s="11" t="s">
        <v>2009</v>
      </c>
      <c r="E189" s="2" t="str">
        <f t="shared" si="1"/>
        <v>What is the root word of the inflected word \"nagpumiglas\"?</v>
      </c>
      <c r="F189" s="2" t="str">
        <f t="shared" si="2"/>
        <v>Ano ang salitang-ugat ng nilapiang salita na \"nagpumiglas\"?</v>
      </c>
      <c r="G189" s="2" t="str">
        <f t="shared" si="3"/>
        <v>piglas</v>
      </c>
      <c r="H189" s="19" t="s">
        <v>2850</v>
      </c>
      <c r="I189" s="11" t="s">
        <v>499</v>
      </c>
      <c r="J189" s="11" t="s">
        <v>491</v>
      </c>
      <c r="K189" s="11" t="s">
        <v>497</v>
      </c>
      <c r="L189" s="11"/>
      <c r="M189" s="11" t="s">
        <v>487</v>
      </c>
      <c r="N189" s="2" t="s">
        <v>165</v>
      </c>
      <c r="O189" s="2"/>
    </row>
    <row r="190" spans="1:15" ht="15" x14ac:dyDescent="0.2">
      <c r="A190" s="2" t="s">
        <v>2002</v>
      </c>
      <c r="B190" s="2" t="s">
        <v>2015</v>
      </c>
      <c r="C190" s="2" t="s">
        <v>2018</v>
      </c>
      <c r="D190" s="11" t="s">
        <v>2009</v>
      </c>
      <c r="E190" s="2" t="str">
        <f t="shared" si="1"/>
        <v>What is the root word of the inflected word \"nagkumahog\"?</v>
      </c>
      <c r="F190" s="2" t="str">
        <f t="shared" si="2"/>
        <v>Ano ang salitang-ugat ng nilapiang salita na \"nagkumahog\"?</v>
      </c>
      <c r="G190" s="2" t="str">
        <f t="shared" si="3"/>
        <v>kahog</v>
      </c>
      <c r="H190" s="19" t="s">
        <v>2851</v>
      </c>
      <c r="I190" s="11" t="s">
        <v>500</v>
      </c>
      <c r="J190" s="11" t="s">
        <v>493</v>
      </c>
      <c r="K190" s="11" t="s">
        <v>497</v>
      </c>
      <c r="L190" s="11"/>
      <c r="M190" s="11" t="s">
        <v>487</v>
      </c>
      <c r="N190" s="2" t="s">
        <v>165</v>
      </c>
      <c r="O190" s="2"/>
    </row>
    <row r="191" spans="1:15" ht="15" x14ac:dyDescent="0.2">
      <c r="A191" s="2" t="s">
        <v>2002</v>
      </c>
      <c r="B191" s="2" t="s">
        <v>2015</v>
      </c>
      <c r="C191" s="2" t="s">
        <v>2018</v>
      </c>
      <c r="D191" s="11" t="s">
        <v>2009</v>
      </c>
      <c r="E191" s="2" t="str">
        <f t="shared" si="1"/>
        <v>What is the root word of the inflected word \"nagsumamo\"?</v>
      </c>
      <c r="F191" s="2" t="str">
        <f t="shared" si="2"/>
        <v>Ano ang salitang-ugat ng nilapiang salita na \"nagsumamo\"?</v>
      </c>
      <c r="G191" s="2" t="str">
        <f t="shared" si="3"/>
        <v>samo</v>
      </c>
      <c r="H191" s="19" t="s">
        <v>2852</v>
      </c>
      <c r="I191" s="11" t="s">
        <v>501</v>
      </c>
      <c r="J191" s="11" t="s">
        <v>495</v>
      </c>
      <c r="K191" s="11" t="s">
        <v>497</v>
      </c>
      <c r="L191" s="11"/>
      <c r="M191" s="11" t="s">
        <v>487</v>
      </c>
      <c r="N191" s="2" t="s">
        <v>165</v>
      </c>
      <c r="O191" s="2"/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203"/>
  <sheetViews>
    <sheetView topLeftCell="F165" workbookViewId="0">
      <selection activeCell="N200" sqref="N200"/>
    </sheetView>
  </sheetViews>
  <sheetFormatPr baseColWidth="10" defaultColWidth="12.6640625" defaultRowHeight="15.75" customHeight="1" x14ac:dyDescent="0.15"/>
  <cols>
    <col min="6" max="6" width="36.1640625" customWidth="1"/>
    <col min="7" max="7" width="38.33203125" customWidth="1"/>
  </cols>
  <sheetData>
    <row r="1" spans="1:16" ht="15.75" customHeight="1" x14ac:dyDescent="0.15">
      <c r="A1" s="2" t="s">
        <v>502</v>
      </c>
      <c r="B1" s="2" t="s">
        <v>503</v>
      </c>
      <c r="C1" s="2" t="s">
        <v>1692</v>
      </c>
      <c r="D1" s="2" t="s">
        <v>2001</v>
      </c>
      <c r="E1" s="2" t="s">
        <v>504</v>
      </c>
      <c r="F1" s="2" t="s">
        <v>505</v>
      </c>
      <c r="G1" s="2" t="s">
        <v>506</v>
      </c>
      <c r="H1" s="2" t="s">
        <v>507</v>
      </c>
      <c r="I1" s="19" t="s">
        <v>508</v>
      </c>
      <c r="J1" s="2" t="s">
        <v>83</v>
      </c>
      <c r="K1" s="2" t="s">
        <v>2019</v>
      </c>
      <c r="L1" s="2" t="s">
        <v>2020</v>
      </c>
      <c r="M1" s="2" t="s">
        <v>2021</v>
      </c>
      <c r="N1" s="2" t="s">
        <v>88</v>
      </c>
      <c r="O1" s="2" t="s">
        <v>2022</v>
      </c>
      <c r="P1" s="2" t="s">
        <v>89</v>
      </c>
    </row>
    <row r="2" spans="1:16" ht="15.75" customHeight="1" x14ac:dyDescent="0.15">
      <c r="A2" s="2" t="s">
        <v>2002</v>
      </c>
      <c r="B2" s="19" t="s">
        <v>2853</v>
      </c>
      <c r="C2" s="2" t="s">
        <v>2023</v>
      </c>
      <c r="D2" s="2" t="s">
        <v>2024</v>
      </c>
      <c r="E2" s="2"/>
      <c r="F2" s="2" t="s">
        <v>2025</v>
      </c>
      <c r="G2" s="2" t="s">
        <v>2026</v>
      </c>
      <c r="H2" s="2" t="s">
        <v>2027</v>
      </c>
      <c r="I2" s="19" t="s">
        <v>2854</v>
      </c>
      <c r="J2" s="2" t="s">
        <v>2028</v>
      </c>
      <c r="K2" s="2" t="s">
        <v>2027</v>
      </c>
      <c r="L2" s="2" t="s">
        <v>2029</v>
      </c>
      <c r="M2" s="2" t="s">
        <v>2023</v>
      </c>
      <c r="N2" s="2" t="s">
        <v>2024</v>
      </c>
      <c r="O2" s="2" t="s">
        <v>2030</v>
      </c>
    </row>
    <row r="3" spans="1:16" ht="15.75" customHeight="1" x14ac:dyDescent="0.15">
      <c r="A3" s="2" t="s">
        <v>2002</v>
      </c>
      <c r="B3" s="19" t="s">
        <v>2853</v>
      </c>
      <c r="C3" s="2" t="str">
        <f t="shared" ref="C3:D3" si="0">M3</f>
        <v>partial</v>
      </c>
      <c r="D3" s="2" t="str">
        <f t="shared" si="0"/>
        <v>adjective_pluralizer</v>
      </c>
      <c r="E3" s="2"/>
      <c r="F3" s="2" t="str">
        <f t="shared" ref="F3:F182" si="1">"What is the root word of the word " &amp; "\" &amp; """" &amp;J3  &amp; "\" &amp; """" &amp; "?"</f>
        <v>What is the root word of the word \"makikisig\"?</v>
      </c>
      <c r="G3" s="2" t="str">
        <f t="shared" ref="G3:G182" si="2">"Ano ang salitang-ugat ng salitang " &amp; "\" &amp; """" &amp;J3  &amp; "\" &amp; """" &amp; "?"</f>
        <v>Ano ang salitang-ugat ng salitang \"makikisig\"?</v>
      </c>
      <c r="H3" s="2" t="str">
        <f t="shared" ref="H3:H182" si="3">K3</f>
        <v>kisig</v>
      </c>
      <c r="I3" s="19" t="s">
        <v>2855</v>
      </c>
      <c r="J3" s="2" t="s">
        <v>2031</v>
      </c>
      <c r="K3" s="2" t="s">
        <v>2032</v>
      </c>
      <c r="L3" s="2" t="s">
        <v>2033</v>
      </c>
      <c r="M3" s="2" t="s">
        <v>2023</v>
      </c>
      <c r="N3" s="2" t="s">
        <v>2024</v>
      </c>
      <c r="O3" s="2" t="s">
        <v>2030</v>
      </c>
    </row>
    <row r="4" spans="1:16" ht="15.75" customHeight="1" x14ac:dyDescent="0.15">
      <c r="A4" s="2" t="s">
        <v>2002</v>
      </c>
      <c r="B4" s="19" t="s">
        <v>2853</v>
      </c>
      <c r="C4" s="2" t="str">
        <f t="shared" ref="C4:D4" si="4">M4</f>
        <v>partial</v>
      </c>
      <c r="D4" s="2" t="str">
        <f t="shared" si="4"/>
        <v>adjective_pluralizer</v>
      </c>
      <c r="E4" s="2"/>
      <c r="F4" s="2" t="str">
        <f t="shared" si="1"/>
        <v>What is the root word of the word \"magaganda\"?</v>
      </c>
      <c r="G4" s="2" t="str">
        <f t="shared" si="2"/>
        <v>Ano ang salitang-ugat ng salitang \"magaganda\"?</v>
      </c>
      <c r="H4" s="2" t="str">
        <f t="shared" si="3"/>
        <v>ganda</v>
      </c>
      <c r="I4" s="19" t="s">
        <v>2856</v>
      </c>
      <c r="J4" s="2" t="s">
        <v>2034</v>
      </c>
      <c r="K4" s="2" t="s">
        <v>299</v>
      </c>
      <c r="L4" s="2" t="s">
        <v>2035</v>
      </c>
      <c r="M4" s="2" t="s">
        <v>2023</v>
      </c>
      <c r="N4" s="2" t="s">
        <v>2024</v>
      </c>
      <c r="O4" s="2" t="s">
        <v>2030</v>
      </c>
    </row>
    <row r="5" spans="1:16" ht="15.75" customHeight="1" x14ac:dyDescent="0.15">
      <c r="A5" s="2" t="s">
        <v>2002</v>
      </c>
      <c r="B5" s="19" t="s">
        <v>2853</v>
      </c>
      <c r="C5" s="2" t="str">
        <f t="shared" ref="C5:D5" si="5">M5</f>
        <v>partial</v>
      </c>
      <c r="D5" s="2" t="str">
        <f t="shared" si="5"/>
        <v>adjective_pluralizer</v>
      </c>
      <c r="E5" s="2"/>
      <c r="F5" s="2" t="str">
        <f t="shared" si="1"/>
        <v>What is the root word of the word \"masisipag\"?</v>
      </c>
      <c r="G5" s="2" t="str">
        <f t="shared" si="2"/>
        <v>Ano ang salitang-ugat ng salitang \"masisipag\"?</v>
      </c>
      <c r="H5" s="2" t="str">
        <f t="shared" si="3"/>
        <v>sipag</v>
      </c>
      <c r="I5" s="19" t="s">
        <v>2857</v>
      </c>
      <c r="J5" s="2" t="s">
        <v>2036</v>
      </c>
      <c r="K5" s="2" t="s">
        <v>2037</v>
      </c>
      <c r="L5" s="2" t="s">
        <v>571</v>
      </c>
      <c r="M5" s="2" t="s">
        <v>2023</v>
      </c>
      <c r="N5" s="2" t="s">
        <v>2024</v>
      </c>
      <c r="O5" s="2" t="s">
        <v>2030</v>
      </c>
    </row>
    <row r="6" spans="1:16" ht="15.75" customHeight="1" x14ac:dyDescent="0.15">
      <c r="A6" s="2" t="s">
        <v>2002</v>
      </c>
      <c r="B6" s="19" t="s">
        <v>2853</v>
      </c>
      <c r="C6" s="2" t="str">
        <f t="shared" ref="C6:D6" si="6">M6</f>
        <v>partial</v>
      </c>
      <c r="D6" s="2" t="str">
        <f t="shared" si="6"/>
        <v>adjective_pluralizer</v>
      </c>
      <c r="E6" s="2"/>
      <c r="F6" s="2" t="str">
        <f t="shared" si="1"/>
        <v>What is the root word of the word \"matatangkad\"?</v>
      </c>
      <c r="G6" s="2" t="str">
        <f t="shared" si="2"/>
        <v>Ano ang salitang-ugat ng salitang \"matatangkad\"?</v>
      </c>
      <c r="H6" s="2" t="str">
        <f t="shared" si="3"/>
        <v>tangkad</v>
      </c>
      <c r="I6" s="19" t="s">
        <v>2858</v>
      </c>
      <c r="J6" s="2" t="s">
        <v>2038</v>
      </c>
      <c r="K6" s="2" t="s">
        <v>2039</v>
      </c>
      <c r="L6" s="2" t="s">
        <v>2040</v>
      </c>
      <c r="M6" s="2" t="s">
        <v>2023</v>
      </c>
      <c r="N6" s="2" t="s">
        <v>2024</v>
      </c>
      <c r="O6" s="2" t="s">
        <v>2030</v>
      </c>
    </row>
    <row r="7" spans="1:16" ht="15.75" customHeight="1" x14ac:dyDescent="0.15">
      <c r="A7" s="2" t="s">
        <v>2002</v>
      </c>
      <c r="B7" s="19" t="s">
        <v>2853</v>
      </c>
      <c r="C7" s="2" t="str">
        <f t="shared" ref="C7:D7" si="7">M7</f>
        <v>partial</v>
      </c>
      <c r="D7" s="2" t="str">
        <f t="shared" si="7"/>
        <v>adjective_pluralizer</v>
      </c>
      <c r="E7" s="2"/>
      <c r="F7" s="2" t="str">
        <f t="shared" si="1"/>
        <v>What is the root word of the word \"matatalino\"?</v>
      </c>
      <c r="G7" s="2" t="str">
        <f t="shared" si="2"/>
        <v>Ano ang salitang-ugat ng salitang \"matatalino\"?</v>
      </c>
      <c r="H7" s="2" t="str">
        <f t="shared" si="3"/>
        <v>talino</v>
      </c>
      <c r="I7" s="19" t="s">
        <v>2859</v>
      </c>
      <c r="J7" s="2" t="s">
        <v>2041</v>
      </c>
      <c r="K7" s="2" t="s">
        <v>2042</v>
      </c>
      <c r="L7" s="2" t="s">
        <v>2040</v>
      </c>
      <c r="M7" s="2" t="s">
        <v>2023</v>
      </c>
      <c r="N7" s="2" t="s">
        <v>2024</v>
      </c>
      <c r="O7" s="2" t="s">
        <v>2030</v>
      </c>
    </row>
    <row r="8" spans="1:16" ht="15.75" customHeight="1" x14ac:dyDescent="0.15">
      <c r="A8" s="2" t="s">
        <v>2002</v>
      </c>
      <c r="B8" s="19" t="s">
        <v>2853</v>
      </c>
      <c r="C8" s="2" t="str">
        <f t="shared" ref="C8:D8" si="8">M8</f>
        <v>partial</v>
      </c>
      <c r="D8" s="2" t="str">
        <f t="shared" si="8"/>
        <v>adjective_pluralizer</v>
      </c>
      <c r="E8" s="2"/>
      <c r="F8" s="2" t="str">
        <f t="shared" si="1"/>
        <v>What is the root word of the word \"masasarap\"?</v>
      </c>
      <c r="G8" s="2" t="str">
        <f t="shared" si="2"/>
        <v>Ano ang salitang-ugat ng salitang \"masasarap\"?</v>
      </c>
      <c r="H8" s="2" t="str">
        <f t="shared" si="3"/>
        <v>sarap</v>
      </c>
      <c r="I8" s="19" t="s">
        <v>2860</v>
      </c>
      <c r="J8" s="2" t="s">
        <v>2043</v>
      </c>
      <c r="K8" s="2" t="s">
        <v>2044</v>
      </c>
      <c r="L8" s="2" t="s">
        <v>525</v>
      </c>
      <c r="M8" s="2" t="s">
        <v>2023</v>
      </c>
      <c r="N8" s="2" t="s">
        <v>2024</v>
      </c>
      <c r="O8" s="2" t="s">
        <v>2030</v>
      </c>
    </row>
    <row r="9" spans="1:16" ht="15.75" customHeight="1" x14ac:dyDescent="0.15">
      <c r="A9" s="2" t="s">
        <v>2002</v>
      </c>
      <c r="B9" s="19" t="s">
        <v>2853</v>
      </c>
      <c r="C9" s="2" t="str">
        <f t="shared" ref="C9:D9" si="9">M9</f>
        <v>partial</v>
      </c>
      <c r="D9" s="2" t="str">
        <f t="shared" si="9"/>
        <v>adjective_pluralizer</v>
      </c>
      <c r="E9" s="2"/>
      <c r="F9" s="2" t="str">
        <f t="shared" si="1"/>
        <v>What is the root word of the word \"masisikip\"?</v>
      </c>
      <c r="G9" s="2" t="str">
        <f t="shared" si="2"/>
        <v>Ano ang salitang-ugat ng salitang \"masisikip\"?</v>
      </c>
      <c r="H9" s="2" t="str">
        <f t="shared" si="3"/>
        <v>sikip</v>
      </c>
      <c r="I9" s="19" t="s">
        <v>2861</v>
      </c>
      <c r="J9" s="2" t="s">
        <v>2045</v>
      </c>
      <c r="K9" s="2" t="s">
        <v>2046</v>
      </c>
      <c r="L9" s="2" t="s">
        <v>571</v>
      </c>
      <c r="M9" s="2" t="s">
        <v>2023</v>
      </c>
      <c r="N9" s="2" t="s">
        <v>2024</v>
      </c>
      <c r="O9" s="2" t="s">
        <v>2030</v>
      </c>
    </row>
    <row r="10" spans="1:16" ht="15.75" customHeight="1" x14ac:dyDescent="0.15">
      <c r="A10" s="2" t="s">
        <v>2002</v>
      </c>
      <c r="B10" s="19" t="s">
        <v>2853</v>
      </c>
      <c r="C10" s="2" t="str">
        <f t="shared" ref="C10:D10" si="10">M10</f>
        <v>partial</v>
      </c>
      <c r="D10" s="2" t="str">
        <f t="shared" si="10"/>
        <v>adjective_pluralizer</v>
      </c>
      <c r="E10" s="2"/>
      <c r="F10" s="2" t="str">
        <f t="shared" si="1"/>
        <v>What is the root word of the word \"maluluwag\"?</v>
      </c>
      <c r="G10" s="2" t="str">
        <f t="shared" si="2"/>
        <v>Ano ang salitang-ugat ng salitang \"maluluwag\"?</v>
      </c>
      <c r="H10" s="2" t="str">
        <f t="shared" si="3"/>
        <v>luwag</v>
      </c>
      <c r="I10" s="19" t="s">
        <v>2862</v>
      </c>
      <c r="J10" s="2" t="s">
        <v>2047</v>
      </c>
      <c r="K10" s="2" t="s">
        <v>2048</v>
      </c>
      <c r="L10" s="2" t="s">
        <v>2049</v>
      </c>
      <c r="M10" s="2" t="s">
        <v>2023</v>
      </c>
      <c r="N10" s="2" t="s">
        <v>2024</v>
      </c>
      <c r="O10" s="2" t="s">
        <v>2030</v>
      </c>
    </row>
    <row r="11" spans="1:16" ht="15.75" customHeight="1" x14ac:dyDescent="0.15">
      <c r="A11" s="2" t="s">
        <v>2002</v>
      </c>
      <c r="B11" s="19" t="s">
        <v>2853</v>
      </c>
      <c r="C11" s="2" t="str">
        <f t="shared" ref="C11:D11" si="11">M11</f>
        <v>partial</v>
      </c>
      <c r="D11" s="2" t="str">
        <f t="shared" si="11"/>
        <v>adjective_pluralizer</v>
      </c>
      <c r="E11" s="2"/>
      <c r="F11" s="2" t="str">
        <f t="shared" si="1"/>
        <v>What is the root word of the word \"matitingkad\"?</v>
      </c>
      <c r="G11" s="2" t="str">
        <f t="shared" si="2"/>
        <v>Ano ang salitang-ugat ng salitang \"matitingkad\"?</v>
      </c>
      <c r="H11" s="2" t="str">
        <f t="shared" si="3"/>
        <v>tingkad</v>
      </c>
      <c r="I11" s="19" t="s">
        <v>2863</v>
      </c>
      <c r="J11" s="2" t="s">
        <v>2050</v>
      </c>
      <c r="K11" s="2" t="s">
        <v>2051</v>
      </c>
      <c r="L11" s="2" t="s">
        <v>2052</v>
      </c>
      <c r="M11" s="2" t="s">
        <v>2023</v>
      </c>
      <c r="N11" s="2" t="s">
        <v>2024</v>
      </c>
      <c r="O11" s="2" t="s">
        <v>2030</v>
      </c>
    </row>
    <row r="12" spans="1:16" ht="15.75" customHeight="1" x14ac:dyDescent="0.15">
      <c r="A12" s="2" t="s">
        <v>2002</v>
      </c>
      <c r="B12" s="19" t="s">
        <v>2853</v>
      </c>
      <c r="C12" s="2" t="str">
        <f t="shared" ref="C12:D12" si="12">M12</f>
        <v>partial</v>
      </c>
      <c r="D12" s="2" t="str">
        <f t="shared" si="12"/>
        <v>adjective_pluralizer</v>
      </c>
      <c r="E12" s="2"/>
      <c r="F12" s="2" t="str">
        <f t="shared" si="1"/>
        <v>What is the root word of the word \"mapupusyaw\"?</v>
      </c>
      <c r="G12" s="2" t="str">
        <f t="shared" si="2"/>
        <v>Ano ang salitang-ugat ng salitang \"mapupusyaw\"?</v>
      </c>
      <c r="H12" s="2" t="str">
        <f t="shared" si="3"/>
        <v>pusyaw</v>
      </c>
      <c r="I12" s="19" t="s">
        <v>2864</v>
      </c>
      <c r="J12" s="2" t="s">
        <v>2053</v>
      </c>
      <c r="K12" s="2" t="s">
        <v>2054</v>
      </c>
      <c r="L12" s="2" t="s">
        <v>2055</v>
      </c>
      <c r="M12" s="2" t="s">
        <v>2023</v>
      </c>
      <c r="N12" s="2" t="s">
        <v>2024</v>
      </c>
      <c r="O12" s="2" t="s">
        <v>2030</v>
      </c>
    </row>
    <row r="13" spans="1:16" ht="15.75" customHeight="1" x14ac:dyDescent="0.15">
      <c r="A13" s="2" t="s">
        <v>2002</v>
      </c>
      <c r="B13" s="19" t="s">
        <v>2853</v>
      </c>
      <c r="C13" s="2" t="str">
        <f t="shared" ref="C13:D13" si="13">M13</f>
        <v>partial</v>
      </c>
      <c r="D13" s="2" t="str">
        <f t="shared" si="13"/>
        <v>adjective_equality</v>
      </c>
      <c r="E13" s="2"/>
      <c r="F13" s="2" t="str">
        <f t="shared" si="1"/>
        <v>What is the root word of the word \"magkakasinglaki\"?</v>
      </c>
      <c r="G13" s="2" t="str">
        <f t="shared" si="2"/>
        <v>Ano ang salitang-ugat ng salitang \"magkakasinglaki\"?</v>
      </c>
      <c r="H13" s="2" t="str">
        <f t="shared" si="3"/>
        <v>laki</v>
      </c>
      <c r="I13" s="19" t="s">
        <v>2865</v>
      </c>
      <c r="J13" s="2" t="s">
        <v>2056</v>
      </c>
      <c r="K13" s="2" t="s">
        <v>2057</v>
      </c>
      <c r="L13" s="2" t="s">
        <v>529</v>
      </c>
      <c r="M13" s="2" t="s">
        <v>2023</v>
      </c>
      <c r="N13" s="2" t="s">
        <v>2058</v>
      </c>
      <c r="O13" s="2" t="s">
        <v>2059</v>
      </c>
    </row>
    <row r="14" spans="1:16" ht="15.75" customHeight="1" x14ac:dyDescent="0.15">
      <c r="A14" s="2" t="s">
        <v>2002</v>
      </c>
      <c r="B14" s="19" t="s">
        <v>2853</v>
      </c>
      <c r="C14" s="2" t="str">
        <f t="shared" ref="C14:D14" si="14">M14</f>
        <v>partial</v>
      </c>
      <c r="D14" s="2" t="str">
        <f t="shared" si="14"/>
        <v>adjective_equality</v>
      </c>
      <c r="E14" s="2"/>
      <c r="F14" s="2" t="str">
        <f t="shared" si="1"/>
        <v>What is the root word of the word \"magkakasinghaba\"?</v>
      </c>
      <c r="G14" s="2" t="str">
        <f t="shared" si="2"/>
        <v>Ano ang salitang-ugat ng salitang \"magkakasinghaba\"?</v>
      </c>
      <c r="H14" s="2" t="str">
        <f t="shared" si="3"/>
        <v>haba</v>
      </c>
      <c r="I14" s="19" t="s">
        <v>2866</v>
      </c>
      <c r="J14" s="2" t="s">
        <v>2060</v>
      </c>
      <c r="K14" s="2" t="s">
        <v>2061</v>
      </c>
      <c r="L14" s="2" t="s">
        <v>529</v>
      </c>
      <c r="M14" s="2" t="s">
        <v>2023</v>
      </c>
      <c r="N14" s="2" t="s">
        <v>2058</v>
      </c>
      <c r="O14" s="2" t="s">
        <v>2059</v>
      </c>
    </row>
    <row r="15" spans="1:16" ht="15.75" customHeight="1" x14ac:dyDescent="0.15">
      <c r="A15" s="2" t="s">
        <v>2002</v>
      </c>
      <c r="B15" s="19" t="s">
        <v>2853</v>
      </c>
      <c r="C15" s="2" t="str">
        <f t="shared" ref="C15:D15" si="15">M15</f>
        <v>partial</v>
      </c>
      <c r="D15" s="2" t="str">
        <f t="shared" si="15"/>
        <v>adjective_equality</v>
      </c>
      <c r="E15" s="2"/>
      <c r="F15" s="2" t="str">
        <f t="shared" si="1"/>
        <v>What is the root word of the word \"magkakasingliit\"?</v>
      </c>
      <c r="G15" s="2" t="str">
        <f t="shared" si="2"/>
        <v>Ano ang salitang-ugat ng salitang \"magkakasingliit\"?</v>
      </c>
      <c r="H15" s="2" t="str">
        <f t="shared" si="3"/>
        <v>liit</v>
      </c>
      <c r="I15" s="19" t="s">
        <v>2867</v>
      </c>
      <c r="J15" s="2" t="s">
        <v>2062</v>
      </c>
      <c r="K15" s="2" t="s">
        <v>2063</v>
      </c>
      <c r="L15" s="2" t="s">
        <v>529</v>
      </c>
      <c r="M15" s="2" t="s">
        <v>2023</v>
      </c>
      <c r="N15" s="2" t="s">
        <v>2058</v>
      </c>
      <c r="O15" s="2" t="s">
        <v>2059</v>
      </c>
    </row>
    <row r="16" spans="1:16" ht="15.75" customHeight="1" x14ac:dyDescent="0.15">
      <c r="A16" s="2" t="s">
        <v>2002</v>
      </c>
      <c r="B16" s="19" t="s">
        <v>2853</v>
      </c>
      <c r="C16" s="2" t="str">
        <f t="shared" ref="C16:D16" si="16">M16</f>
        <v>partial</v>
      </c>
      <c r="D16" s="2" t="str">
        <f t="shared" si="16"/>
        <v>adjective_equality</v>
      </c>
      <c r="E16" s="2"/>
      <c r="F16" s="2" t="str">
        <f t="shared" si="1"/>
        <v>What is the root word of the word \"magkakasingtangkad\"?</v>
      </c>
      <c r="G16" s="2" t="str">
        <f t="shared" si="2"/>
        <v>Ano ang salitang-ugat ng salitang \"magkakasingtangkad\"?</v>
      </c>
      <c r="H16" s="2" t="str">
        <f t="shared" si="3"/>
        <v>tangkad</v>
      </c>
      <c r="I16" s="19" t="s">
        <v>2868</v>
      </c>
      <c r="J16" s="2" t="s">
        <v>2064</v>
      </c>
      <c r="K16" s="2" t="s">
        <v>2039</v>
      </c>
      <c r="L16" s="2" t="s">
        <v>529</v>
      </c>
      <c r="M16" s="2" t="s">
        <v>2023</v>
      </c>
      <c r="N16" s="2" t="s">
        <v>2058</v>
      </c>
      <c r="O16" s="2" t="s">
        <v>2059</v>
      </c>
    </row>
    <row r="17" spans="1:15" ht="15.75" customHeight="1" x14ac:dyDescent="0.15">
      <c r="A17" s="2" t="s">
        <v>2002</v>
      </c>
      <c r="B17" s="19" t="s">
        <v>2853</v>
      </c>
      <c r="C17" s="2" t="str">
        <f t="shared" ref="C17:D17" si="17">M17</f>
        <v>partial</v>
      </c>
      <c r="D17" s="2" t="str">
        <f t="shared" si="17"/>
        <v>adjective_equality</v>
      </c>
      <c r="E17" s="2"/>
      <c r="F17" s="2" t="str">
        <f t="shared" si="1"/>
        <v>What is the root word of the word \"magkakasimbigat\"?</v>
      </c>
      <c r="G17" s="2" t="str">
        <f t="shared" si="2"/>
        <v>Ano ang salitang-ugat ng salitang \"magkakasimbigat\"?</v>
      </c>
      <c r="H17" s="2" t="str">
        <f t="shared" si="3"/>
        <v>bigat</v>
      </c>
      <c r="I17" s="19" t="s">
        <v>2869</v>
      </c>
      <c r="J17" s="2" t="s">
        <v>2065</v>
      </c>
      <c r="K17" s="2" t="s">
        <v>2066</v>
      </c>
      <c r="L17" s="2" t="s">
        <v>529</v>
      </c>
      <c r="M17" s="2" t="s">
        <v>2023</v>
      </c>
      <c r="N17" s="2" t="s">
        <v>2058</v>
      </c>
      <c r="O17" s="2" t="s">
        <v>2059</v>
      </c>
    </row>
    <row r="18" spans="1:15" ht="15.75" customHeight="1" x14ac:dyDescent="0.15">
      <c r="A18" s="2" t="s">
        <v>2002</v>
      </c>
      <c r="B18" s="19" t="s">
        <v>2853</v>
      </c>
      <c r="C18" s="2" t="str">
        <f t="shared" ref="C18:D18" si="18">M18</f>
        <v>partial</v>
      </c>
      <c r="D18" s="2" t="str">
        <f t="shared" si="18"/>
        <v>adjective_equality</v>
      </c>
      <c r="E18" s="2"/>
      <c r="F18" s="2" t="str">
        <f t="shared" si="1"/>
        <v>What is the root word of the word \"magkakasindalas\"?</v>
      </c>
      <c r="G18" s="2" t="str">
        <f t="shared" si="2"/>
        <v>Ano ang salitang-ugat ng salitang \"magkakasindalas\"?</v>
      </c>
      <c r="H18" s="2" t="str">
        <f t="shared" si="3"/>
        <v>dalas</v>
      </c>
      <c r="I18" s="19" t="s">
        <v>2870</v>
      </c>
      <c r="J18" s="2" t="s">
        <v>2067</v>
      </c>
      <c r="K18" s="2" t="s">
        <v>2068</v>
      </c>
      <c r="L18" s="2" t="s">
        <v>529</v>
      </c>
      <c r="M18" s="2" t="s">
        <v>2023</v>
      </c>
      <c r="N18" s="2" t="s">
        <v>2058</v>
      </c>
      <c r="O18" s="2" t="s">
        <v>2059</v>
      </c>
    </row>
    <row r="19" spans="1:15" ht="15.75" customHeight="1" x14ac:dyDescent="0.15">
      <c r="A19" s="2" t="s">
        <v>2002</v>
      </c>
      <c r="B19" s="19" t="s">
        <v>2853</v>
      </c>
      <c r="C19" s="2" t="str">
        <f t="shared" ref="C19:D19" si="19">M19</f>
        <v>partial</v>
      </c>
      <c r="D19" s="2" t="str">
        <f t="shared" si="19"/>
        <v>adjective_equality</v>
      </c>
      <c r="E19" s="2"/>
      <c r="F19" s="2" t="str">
        <f t="shared" si="1"/>
        <v>What is the root word of the word \"magkakasimpayat\"?</v>
      </c>
      <c r="G19" s="2" t="str">
        <f t="shared" si="2"/>
        <v>Ano ang salitang-ugat ng salitang \"magkakasimpayat\"?</v>
      </c>
      <c r="H19" s="2" t="str">
        <f t="shared" si="3"/>
        <v>payat</v>
      </c>
      <c r="I19" s="19" t="s">
        <v>2871</v>
      </c>
      <c r="J19" s="2" t="s">
        <v>2069</v>
      </c>
      <c r="K19" s="2" t="s">
        <v>159</v>
      </c>
      <c r="L19" s="2" t="s">
        <v>529</v>
      </c>
      <c r="M19" s="2" t="s">
        <v>2023</v>
      </c>
      <c r="N19" s="2" t="s">
        <v>2058</v>
      </c>
      <c r="O19" s="2" t="s">
        <v>2059</v>
      </c>
    </row>
    <row r="20" spans="1:15" ht="15.75" customHeight="1" x14ac:dyDescent="0.15">
      <c r="A20" s="2" t="s">
        <v>2002</v>
      </c>
      <c r="B20" s="19" t="s">
        <v>2853</v>
      </c>
      <c r="C20" s="2" t="str">
        <f t="shared" ref="C20:D20" si="20">M20</f>
        <v>partial</v>
      </c>
      <c r="D20" s="2" t="str">
        <f t="shared" si="20"/>
        <v>adjective_equality</v>
      </c>
      <c r="E20" s="2"/>
      <c r="F20" s="2" t="str">
        <f t="shared" si="1"/>
        <v>What is the root word of the word \"magkakasintaba\"?</v>
      </c>
      <c r="G20" s="2" t="str">
        <f t="shared" si="2"/>
        <v>Ano ang salitang-ugat ng salitang \"magkakasintaba\"?</v>
      </c>
      <c r="H20" s="2" t="str">
        <f t="shared" si="3"/>
        <v>taba</v>
      </c>
      <c r="I20" s="19" t="s">
        <v>2872</v>
      </c>
      <c r="J20" s="2" t="s">
        <v>2070</v>
      </c>
      <c r="K20" s="2" t="s">
        <v>2071</v>
      </c>
      <c r="L20" s="2" t="s">
        <v>529</v>
      </c>
      <c r="M20" s="2" t="s">
        <v>2023</v>
      </c>
      <c r="N20" s="2" t="s">
        <v>2058</v>
      </c>
      <c r="O20" s="2" t="s">
        <v>2059</v>
      </c>
    </row>
    <row r="21" spans="1:15" ht="15.75" customHeight="1" x14ac:dyDescent="0.15">
      <c r="A21" s="2" t="s">
        <v>2002</v>
      </c>
      <c r="B21" s="19" t="s">
        <v>2853</v>
      </c>
      <c r="C21" s="2" t="str">
        <f t="shared" ref="C21:D21" si="21">M21</f>
        <v>partial</v>
      </c>
      <c r="D21" s="2" t="str">
        <f t="shared" si="21"/>
        <v>adjective_equality</v>
      </c>
      <c r="E21" s="2"/>
      <c r="F21" s="2" t="str">
        <f t="shared" si="1"/>
        <v>What is the root word of the word \"magkakalaki\"?</v>
      </c>
      <c r="G21" s="2" t="str">
        <f t="shared" si="2"/>
        <v>Ano ang salitang-ugat ng salitang \"magkakalaki\"?</v>
      </c>
      <c r="H21" s="2" t="str">
        <f t="shared" si="3"/>
        <v>laki</v>
      </c>
      <c r="I21" s="19" t="s">
        <v>2873</v>
      </c>
      <c r="J21" s="2" t="s">
        <v>2072</v>
      </c>
      <c r="K21" s="2" t="s">
        <v>2057</v>
      </c>
      <c r="L21" s="2" t="s">
        <v>529</v>
      </c>
      <c r="M21" s="2" t="s">
        <v>2023</v>
      </c>
      <c r="N21" s="2" t="s">
        <v>2058</v>
      </c>
      <c r="O21" s="2" t="s">
        <v>2059</v>
      </c>
    </row>
    <row r="22" spans="1:15" ht="15.75" customHeight="1" x14ac:dyDescent="0.15">
      <c r="A22" s="2" t="s">
        <v>2002</v>
      </c>
      <c r="B22" s="19" t="s">
        <v>2853</v>
      </c>
      <c r="C22" s="2" t="str">
        <f t="shared" ref="C22:D22" si="22">M22</f>
        <v>partial</v>
      </c>
      <c r="D22" s="2" t="str">
        <f t="shared" si="22"/>
        <v>adjective_equality</v>
      </c>
      <c r="E22" s="2"/>
      <c r="F22" s="2" t="str">
        <f t="shared" si="1"/>
        <v>What is the root word of the word \"magkakaliit\"?</v>
      </c>
      <c r="G22" s="2" t="str">
        <f t="shared" si="2"/>
        <v>Ano ang salitang-ugat ng salitang \"magkakaliit\"?</v>
      </c>
      <c r="H22" s="2" t="str">
        <f t="shared" si="3"/>
        <v>liit</v>
      </c>
      <c r="I22" s="19" t="s">
        <v>2874</v>
      </c>
      <c r="J22" s="2" t="s">
        <v>2073</v>
      </c>
      <c r="K22" s="2" t="s">
        <v>2063</v>
      </c>
      <c r="L22" s="2" t="s">
        <v>529</v>
      </c>
      <c r="M22" s="2" t="s">
        <v>2023</v>
      </c>
      <c r="N22" s="2" t="s">
        <v>2058</v>
      </c>
      <c r="O22" s="2" t="s">
        <v>2059</v>
      </c>
    </row>
    <row r="23" spans="1:15" ht="15.75" customHeight="1" x14ac:dyDescent="0.15">
      <c r="A23" s="2" t="s">
        <v>2002</v>
      </c>
      <c r="B23" s="19" t="s">
        <v>2853</v>
      </c>
      <c r="C23" s="2" t="str">
        <f t="shared" ref="C23:D23" si="23">M23</f>
        <v>partial</v>
      </c>
      <c r="D23" s="2" t="str">
        <f t="shared" si="23"/>
        <v>adjective_equality</v>
      </c>
      <c r="E23" s="2"/>
      <c r="F23" s="2" t="str">
        <f t="shared" si="1"/>
        <v>What is the root word of the word \"magkakatulad\"?</v>
      </c>
      <c r="G23" s="2" t="str">
        <f t="shared" si="2"/>
        <v>Ano ang salitang-ugat ng salitang \"magkakatulad\"?</v>
      </c>
      <c r="H23" s="2" t="str">
        <f t="shared" si="3"/>
        <v>tulad</v>
      </c>
      <c r="I23" s="19" t="s">
        <v>2875</v>
      </c>
      <c r="J23" s="2" t="s">
        <v>2074</v>
      </c>
      <c r="K23" s="2" t="s">
        <v>2075</v>
      </c>
      <c r="L23" s="2" t="s">
        <v>529</v>
      </c>
      <c r="M23" s="2" t="s">
        <v>2023</v>
      </c>
      <c r="N23" s="2" t="s">
        <v>2058</v>
      </c>
      <c r="O23" s="2" t="s">
        <v>2059</v>
      </c>
    </row>
    <row r="24" spans="1:15" ht="15.75" customHeight="1" x14ac:dyDescent="0.15">
      <c r="A24" s="2" t="s">
        <v>2002</v>
      </c>
      <c r="B24" s="19" t="s">
        <v>2853</v>
      </c>
      <c r="C24" s="2" t="str">
        <f t="shared" ref="C24:D24" si="24">M24</f>
        <v>partial</v>
      </c>
      <c r="D24" s="2" t="str">
        <f t="shared" si="24"/>
        <v>adjective_equality</v>
      </c>
      <c r="E24" s="2"/>
      <c r="F24" s="2" t="str">
        <f t="shared" si="1"/>
        <v>What is the root word of the word \"magkakaiba\"?</v>
      </c>
      <c r="G24" s="2" t="str">
        <f t="shared" si="2"/>
        <v>Ano ang salitang-ugat ng salitang \"magkakaiba\"?</v>
      </c>
      <c r="H24" s="2" t="str">
        <f t="shared" si="3"/>
        <v>iba</v>
      </c>
      <c r="I24" s="19" t="s">
        <v>2876</v>
      </c>
      <c r="J24" s="2" t="s">
        <v>2076</v>
      </c>
      <c r="K24" s="2" t="s">
        <v>2077</v>
      </c>
      <c r="L24" s="2" t="s">
        <v>529</v>
      </c>
      <c r="M24" s="2" t="s">
        <v>2023</v>
      </c>
      <c r="N24" s="2" t="s">
        <v>2058</v>
      </c>
      <c r="O24" s="2" t="s">
        <v>2059</v>
      </c>
    </row>
    <row r="25" spans="1:15" ht="15.75" customHeight="1" x14ac:dyDescent="0.15">
      <c r="A25" s="2" t="s">
        <v>2002</v>
      </c>
      <c r="B25" s="19" t="s">
        <v>2853</v>
      </c>
      <c r="C25" s="2" t="str">
        <f t="shared" ref="C25:D25" si="25">M25</f>
        <v>partial</v>
      </c>
      <c r="D25" s="2" t="str">
        <f t="shared" si="25"/>
        <v>adjective_equality</v>
      </c>
      <c r="E25" s="2"/>
      <c r="F25" s="2" t="str">
        <f t="shared" si="1"/>
        <v>What is the root word of the word \"magkakatono\"?</v>
      </c>
      <c r="G25" s="2" t="str">
        <f t="shared" si="2"/>
        <v>Ano ang salitang-ugat ng salitang \"magkakatono\"?</v>
      </c>
      <c r="H25" s="2" t="str">
        <f t="shared" si="3"/>
        <v>tono</v>
      </c>
      <c r="I25" s="19" t="s">
        <v>2877</v>
      </c>
      <c r="J25" s="2" t="s">
        <v>2078</v>
      </c>
      <c r="K25" s="2" t="s">
        <v>2079</v>
      </c>
      <c r="L25" s="2" t="s">
        <v>529</v>
      </c>
      <c r="M25" s="2" t="s">
        <v>2023</v>
      </c>
      <c r="N25" s="2" t="s">
        <v>2058</v>
      </c>
      <c r="O25" s="2" t="s">
        <v>2059</v>
      </c>
    </row>
    <row r="26" spans="1:15" ht="15.75" customHeight="1" x14ac:dyDescent="0.15">
      <c r="A26" s="2" t="s">
        <v>2002</v>
      </c>
      <c r="B26" s="19" t="s">
        <v>2853</v>
      </c>
      <c r="C26" s="2" t="str">
        <f t="shared" ref="C26:D26" si="26">M26</f>
        <v>partial</v>
      </c>
      <c r="D26" s="2" t="str">
        <f t="shared" si="26"/>
        <v>kaunti_munti</v>
      </c>
      <c r="E26" s="2"/>
      <c r="F26" s="2" t="str">
        <f t="shared" si="1"/>
        <v>What is the root word of the word \"kakaunti\"?</v>
      </c>
      <c r="G26" s="2" t="str">
        <f t="shared" si="2"/>
        <v>Ano ang salitang-ugat ng salitang \"kakaunti\"?</v>
      </c>
      <c r="H26" s="2" t="str">
        <f t="shared" si="3"/>
        <v>kaunti</v>
      </c>
      <c r="I26" s="19" t="s">
        <v>2878</v>
      </c>
      <c r="J26" s="2" t="s">
        <v>2080</v>
      </c>
      <c r="K26" s="2" t="s">
        <v>2081</v>
      </c>
      <c r="L26" s="2" t="s">
        <v>529</v>
      </c>
      <c r="M26" s="2" t="s">
        <v>2023</v>
      </c>
      <c r="N26" s="2" t="s">
        <v>2082</v>
      </c>
      <c r="O26" s="2" t="s">
        <v>2083</v>
      </c>
    </row>
    <row r="27" spans="1:15" ht="15.75" customHeight="1" x14ac:dyDescent="0.15">
      <c r="A27" s="2" t="s">
        <v>2002</v>
      </c>
      <c r="B27" s="19" t="s">
        <v>2853</v>
      </c>
      <c r="C27" s="2" t="str">
        <f t="shared" ref="C27:D27" si="27">M27</f>
        <v>partial</v>
      </c>
      <c r="D27" s="2" t="str">
        <f t="shared" si="27"/>
        <v>kaunti_munti</v>
      </c>
      <c r="E27" s="2"/>
      <c r="F27" s="2" t="str">
        <f t="shared" si="1"/>
        <v>What is the root word of the word \"mumunti\"?</v>
      </c>
      <c r="G27" s="2" t="str">
        <f t="shared" si="2"/>
        <v>Ano ang salitang-ugat ng salitang \"mumunti\"?</v>
      </c>
      <c r="H27" s="2" t="str">
        <f t="shared" si="3"/>
        <v>munti</v>
      </c>
      <c r="I27" s="19" t="s">
        <v>2879</v>
      </c>
      <c r="J27" s="2" t="s">
        <v>2084</v>
      </c>
      <c r="K27" s="2" t="s">
        <v>2085</v>
      </c>
      <c r="L27" s="2" t="s">
        <v>2086</v>
      </c>
      <c r="M27" s="2" t="s">
        <v>2023</v>
      </c>
      <c r="N27" s="2" t="s">
        <v>2082</v>
      </c>
      <c r="O27" s="2" t="s">
        <v>2083</v>
      </c>
    </row>
    <row r="28" spans="1:15" ht="15.75" customHeight="1" x14ac:dyDescent="0.15">
      <c r="A28" s="2" t="s">
        <v>2002</v>
      </c>
      <c r="B28" s="19" t="s">
        <v>2853</v>
      </c>
      <c r="C28" s="2" t="str">
        <f t="shared" ref="C28:D28" si="28">M28</f>
        <v>partial</v>
      </c>
      <c r="D28" s="2" t="str">
        <f t="shared" si="28"/>
        <v>noun_relationship</v>
      </c>
      <c r="E28" s="2"/>
      <c r="F28" s="2" t="str">
        <f t="shared" si="1"/>
        <v>What is the root word of the word \"mag-aama\"?</v>
      </c>
      <c r="G28" s="2" t="str">
        <f t="shared" si="2"/>
        <v>Ano ang salitang-ugat ng salitang \"mag-aama\"?</v>
      </c>
      <c r="H28" s="2" t="str">
        <f t="shared" si="3"/>
        <v>ama</v>
      </c>
      <c r="I28" s="19" t="s">
        <v>2880</v>
      </c>
      <c r="J28" s="2" t="s">
        <v>2087</v>
      </c>
      <c r="K28" s="2" t="s">
        <v>2088</v>
      </c>
      <c r="L28" s="2" t="s">
        <v>1810</v>
      </c>
      <c r="M28" s="2" t="s">
        <v>2023</v>
      </c>
      <c r="N28" s="2" t="s">
        <v>2089</v>
      </c>
      <c r="O28" s="2" t="s">
        <v>2090</v>
      </c>
    </row>
    <row r="29" spans="1:15" ht="15.75" customHeight="1" x14ac:dyDescent="0.15">
      <c r="A29" s="2" t="s">
        <v>2002</v>
      </c>
      <c r="B29" s="19" t="s">
        <v>2853</v>
      </c>
      <c r="C29" s="2" t="str">
        <f t="shared" ref="C29:D29" si="29">M29</f>
        <v>partial</v>
      </c>
      <c r="D29" s="2" t="str">
        <f t="shared" si="29"/>
        <v>noun_relationship</v>
      </c>
      <c r="E29" s="2"/>
      <c r="F29" s="2" t="str">
        <f t="shared" si="1"/>
        <v>What is the root word of the word \"mag-iina\"?</v>
      </c>
      <c r="G29" s="2" t="str">
        <f t="shared" si="2"/>
        <v>Ano ang salitang-ugat ng salitang \"mag-iina\"?</v>
      </c>
      <c r="H29" s="2" t="str">
        <f t="shared" si="3"/>
        <v>ina</v>
      </c>
      <c r="I29" s="19" t="s">
        <v>2881</v>
      </c>
      <c r="J29" s="2" t="s">
        <v>2091</v>
      </c>
      <c r="K29" s="2" t="s">
        <v>2092</v>
      </c>
      <c r="L29" s="2" t="s">
        <v>1803</v>
      </c>
      <c r="M29" s="2" t="s">
        <v>2023</v>
      </c>
      <c r="N29" s="2" t="s">
        <v>2089</v>
      </c>
      <c r="O29" s="2" t="s">
        <v>2090</v>
      </c>
    </row>
    <row r="30" spans="1:15" ht="15.75" customHeight="1" x14ac:dyDescent="0.15">
      <c r="A30" s="2" t="s">
        <v>2002</v>
      </c>
      <c r="B30" s="19" t="s">
        <v>2853</v>
      </c>
      <c r="C30" s="2" t="str">
        <f t="shared" ref="C30:D30" si="30">M30</f>
        <v>partial</v>
      </c>
      <c r="D30" s="2" t="str">
        <f t="shared" si="30"/>
        <v>noun_relationship</v>
      </c>
      <c r="E30" s="2"/>
      <c r="F30" s="2" t="str">
        <f t="shared" si="1"/>
        <v>What is the root word of the word \"magkakapatid\"?</v>
      </c>
      <c r="G30" s="2" t="str">
        <f t="shared" si="2"/>
        <v>Ano ang salitang-ugat ng salitang \"magkakapatid\"?</v>
      </c>
      <c r="H30" s="2" t="str">
        <f t="shared" si="3"/>
        <v>kapatid</v>
      </c>
      <c r="I30" s="19" t="s">
        <v>2882</v>
      </c>
      <c r="J30" s="2" t="s">
        <v>2093</v>
      </c>
      <c r="K30" s="2" t="s">
        <v>2094</v>
      </c>
      <c r="L30" s="2" t="s">
        <v>529</v>
      </c>
      <c r="M30" s="2" t="s">
        <v>2023</v>
      </c>
      <c r="N30" s="2" t="s">
        <v>2089</v>
      </c>
      <c r="O30" s="2" t="s">
        <v>2090</v>
      </c>
    </row>
    <row r="31" spans="1:15" ht="15.75" customHeight="1" x14ac:dyDescent="0.15">
      <c r="A31" s="2" t="s">
        <v>2002</v>
      </c>
      <c r="B31" s="19" t="s">
        <v>2853</v>
      </c>
      <c r="C31" s="2" t="str">
        <f t="shared" ref="C31:D31" si="31">M31</f>
        <v>partial</v>
      </c>
      <c r="D31" s="2" t="str">
        <f t="shared" si="31"/>
        <v>noun_relationship</v>
      </c>
      <c r="E31" s="2"/>
      <c r="F31" s="2" t="str">
        <f t="shared" si="1"/>
        <v>What is the root word of the word \"magtitito\"?</v>
      </c>
      <c r="G31" s="2" t="str">
        <f t="shared" si="2"/>
        <v>Ano ang salitang-ugat ng salitang \"magtitito\"?</v>
      </c>
      <c r="H31" s="2" t="str">
        <f t="shared" si="3"/>
        <v>tito</v>
      </c>
      <c r="I31" s="19" t="s">
        <v>2883</v>
      </c>
      <c r="J31" s="2" t="s">
        <v>2095</v>
      </c>
      <c r="K31" s="2" t="s">
        <v>2096</v>
      </c>
      <c r="L31" s="2" t="s">
        <v>2052</v>
      </c>
      <c r="M31" s="2" t="s">
        <v>2023</v>
      </c>
      <c r="N31" s="2" t="s">
        <v>2089</v>
      </c>
      <c r="O31" s="2" t="s">
        <v>2090</v>
      </c>
    </row>
    <row r="32" spans="1:15" ht="15.75" customHeight="1" x14ac:dyDescent="0.15">
      <c r="A32" s="2" t="s">
        <v>2002</v>
      </c>
      <c r="B32" s="19" t="s">
        <v>2853</v>
      </c>
      <c r="C32" s="2" t="str">
        <f t="shared" ref="C32:D32" si="32">M32</f>
        <v>partial</v>
      </c>
      <c r="D32" s="2" t="str">
        <f t="shared" si="32"/>
        <v>noun_relationship</v>
      </c>
      <c r="E32" s="2"/>
      <c r="F32" s="2" t="str">
        <f t="shared" si="1"/>
        <v>What is the root word of the word \"magkukuya\"?</v>
      </c>
      <c r="G32" s="2" t="str">
        <f t="shared" si="2"/>
        <v>Ano ang salitang-ugat ng salitang \"magkukuya\"?</v>
      </c>
      <c r="H32" s="2" t="str">
        <f t="shared" si="3"/>
        <v>kuya</v>
      </c>
      <c r="I32" s="19" t="s">
        <v>2884</v>
      </c>
      <c r="J32" s="2" t="s">
        <v>2097</v>
      </c>
      <c r="K32" s="2" t="s">
        <v>2098</v>
      </c>
      <c r="L32" s="2" t="s">
        <v>2099</v>
      </c>
      <c r="M32" s="2" t="s">
        <v>2023</v>
      </c>
      <c r="N32" s="2" t="s">
        <v>2089</v>
      </c>
      <c r="O32" s="2" t="s">
        <v>2090</v>
      </c>
    </row>
    <row r="33" spans="1:16" ht="15.75" customHeight="1" x14ac:dyDescent="0.15">
      <c r="A33" s="2" t="s">
        <v>2002</v>
      </c>
      <c r="B33" s="19" t="s">
        <v>2853</v>
      </c>
      <c r="C33" s="2" t="str">
        <f t="shared" ref="C33:D33" si="33">M33</f>
        <v>partial</v>
      </c>
      <c r="D33" s="2" t="str">
        <f t="shared" si="33"/>
        <v>noun_relationship</v>
      </c>
      <c r="E33" s="2"/>
      <c r="F33" s="2" t="str">
        <f t="shared" si="1"/>
        <v>What is the root word of the word \"mag-aate\"?</v>
      </c>
      <c r="G33" s="2" t="str">
        <f t="shared" si="2"/>
        <v>Ano ang salitang-ugat ng salitang \"mag-aate\"?</v>
      </c>
      <c r="H33" s="2" t="str">
        <f t="shared" si="3"/>
        <v>ate</v>
      </c>
      <c r="I33" s="19" t="s">
        <v>2885</v>
      </c>
      <c r="J33" s="2" t="s">
        <v>2100</v>
      </c>
      <c r="K33" s="2" t="s">
        <v>2101</v>
      </c>
      <c r="L33" s="2" t="s">
        <v>1810</v>
      </c>
      <c r="M33" s="2" t="s">
        <v>2023</v>
      </c>
      <c r="N33" s="2" t="s">
        <v>2089</v>
      </c>
      <c r="O33" s="2" t="s">
        <v>2090</v>
      </c>
    </row>
    <row r="34" spans="1:16" ht="15.75" customHeight="1" x14ac:dyDescent="0.15">
      <c r="A34" s="2" t="s">
        <v>2002</v>
      </c>
      <c r="B34" s="19" t="s">
        <v>2853</v>
      </c>
      <c r="C34" s="2" t="str">
        <f t="shared" ref="C34:D34" si="34">M34</f>
        <v>partial</v>
      </c>
      <c r="D34" s="2" t="str">
        <f t="shared" si="34"/>
        <v>noun_relationship</v>
      </c>
      <c r="E34" s="2"/>
      <c r="F34" s="2" t="str">
        <f t="shared" si="1"/>
        <v>What is the root word of the word \"magtitita\"?</v>
      </c>
      <c r="G34" s="2" t="str">
        <f t="shared" si="2"/>
        <v>Ano ang salitang-ugat ng salitang \"magtitita\"?</v>
      </c>
      <c r="H34" s="2" t="str">
        <f t="shared" si="3"/>
        <v>tita</v>
      </c>
      <c r="I34" s="19" t="s">
        <v>2886</v>
      </c>
      <c r="J34" s="2" t="s">
        <v>2102</v>
      </c>
      <c r="K34" s="2" t="s">
        <v>2103</v>
      </c>
      <c r="L34" s="2" t="s">
        <v>2052</v>
      </c>
      <c r="M34" s="2" t="s">
        <v>2023</v>
      </c>
      <c r="N34" s="2" t="s">
        <v>2089</v>
      </c>
      <c r="O34" s="2" t="s">
        <v>2090</v>
      </c>
    </row>
    <row r="35" spans="1:16" ht="15.75" customHeight="1" x14ac:dyDescent="0.15">
      <c r="A35" s="2" t="s">
        <v>2002</v>
      </c>
      <c r="B35" s="19" t="s">
        <v>2853</v>
      </c>
      <c r="C35" s="2" t="str">
        <f t="shared" ref="C35:D35" si="35">M35</f>
        <v>partial</v>
      </c>
      <c r="D35" s="2" t="str">
        <f t="shared" si="35"/>
        <v>noun_relationship</v>
      </c>
      <c r="E35" s="2"/>
      <c r="F35" s="2" t="str">
        <f t="shared" si="1"/>
        <v>What is the root word of the word \"magnininong\"?</v>
      </c>
      <c r="G35" s="2" t="str">
        <f t="shared" si="2"/>
        <v>Ano ang salitang-ugat ng salitang \"magnininong\"?</v>
      </c>
      <c r="H35" s="2" t="str">
        <f t="shared" si="3"/>
        <v>ninong</v>
      </c>
      <c r="I35" s="19" t="s">
        <v>2887</v>
      </c>
      <c r="J35" s="2" t="s">
        <v>2104</v>
      </c>
      <c r="K35" s="2" t="s">
        <v>2105</v>
      </c>
      <c r="L35" s="2" t="s">
        <v>547</v>
      </c>
      <c r="M35" s="2" t="s">
        <v>2023</v>
      </c>
      <c r="N35" s="2" t="s">
        <v>2089</v>
      </c>
      <c r="O35" s="2" t="s">
        <v>2090</v>
      </c>
    </row>
    <row r="36" spans="1:16" ht="15.75" customHeight="1" x14ac:dyDescent="0.15">
      <c r="A36" s="2" t="s">
        <v>2002</v>
      </c>
      <c r="B36" s="19" t="s">
        <v>2853</v>
      </c>
      <c r="C36" s="2" t="str">
        <f t="shared" ref="C36:D36" si="36">M36</f>
        <v>partial</v>
      </c>
      <c r="D36" s="2" t="str">
        <f t="shared" si="36"/>
        <v>noun_relationship</v>
      </c>
      <c r="E36" s="2"/>
      <c r="F36" s="2" t="str">
        <f t="shared" si="1"/>
        <v>What is the root word of the word \"magkukumare\"?</v>
      </c>
      <c r="G36" s="2" t="str">
        <f t="shared" si="2"/>
        <v>Ano ang salitang-ugat ng salitang \"magkukumare\"?</v>
      </c>
      <c r="H36" s="2" t="str">
        <f t="shared" si="3"/>
        <v>kumare</v>
      </c>
      <c r="I36" s="19" t="s">
        <v>2888</v>
      </c>
      <c r="J36" s="2" t="s">
        <v>2106</v>
      </c>
      <c r="K36" s="2" t="s">
        <v>2107</v>
      </c>
      <c r="L36" s="2" t="s">
        <v>2099</v>
      </c>
      <c r="M36" s="2" t="s">
        <v>2023</v>
      </c>
      <c r="N36" s="2" t="s">
        <v>2089</v>
      </c>
      <c r="O36" s="2" t="s">
        <v>2090</v>
      </c>
    </row>
    <row r="37" spans="1:16" ht="15.75" customHeight="1" x14ac:dyDescent="0.15">
      <c r="A37" s="2" t="s">
        <v>2002</v>
      </c>
      <c r="B37" s="19" t="s">
        <v>2853</v>
      </c>
      <c r="C37" s="2" t="str">
        <f t="shared" ref="C37:D37" si="37">M37</f>
        <v>partial</v>
      </c>
      <c r="D37" s="2" t="str">
        <f t="shared" si="37"/>
        <v>numeral_restrictive</v>
      </c>
      <c r="E37" s="2"/>
      <c r="F37" s="2" t="str">
        <f t="shared" si="1"/>
        <v>What is the root word of the word \"iisa\"?</v>
      </c>
      <c r="G37" s="2" t="str">
        <f t="shared" si="2"/>
        <v>Ano ang salitang-ugat ng salitang \"iisa\"?</v>
      </c>
      <c r="H37" s="2" t="str">
        <f t="shared" si="3"/>
        <v>isa</v>
      </c>
      <c r="I37" s="19" t="s">
        <v>2889</v>
      </c>
      <c r="J37" s="2" t="s">
        <v>2108</v>
      </c>
      <c r="K37" s="2" t="s">
        <v>2109</v>
      </c>
      <c r="L37" s="2" t="s">
        <v>1803</v>
      </c>
      <c r="M37" s="2" t="s">
        <v>2023</v>
      </c>
      <c r="N37" s="2" t="s">
        <v>2110</v>
      </c>
      <c r="O37" s="2" t="s">
        <v>2111</v>
      </c>
      <c r="P37" s="2" t="s">
        <v>166</v>
      </c>
    </row>
    <row r="38" spans="1:16" ht="15.75" customHeight="1" x14ac:dyDescent="0.15">
      <c r="A38" s="2" t="s">
        <v>2002</v>
      </c>
      <c r="B38" s="19" t="s">
        <v>2853</v>
      </c>
      <c r="C38" s="2" t="str">
        <f t="shared" ref="C38:D38" si="38">M38</f>
        <v>partial</v>
      </c>
      <c r="D38" s="2" t="str">
        <f t="shared" si="38"/>
        <v>numeral_restrictive</v>
      </c>
      <c r="E38" s="2"/>
      <c r="F38" s="2" t="str">
        <f t="shared" si="1"/>
        <v>What is the root word of the word \"titigalawa\"?</v>
      </c>
      <c r="G38" s="2" t="str">
        <f t="shared" si="2"/>
        <v>Ano ang salitang-ugat ng salitang \"titigalawa\"?</v>
      </c>
      <c r="H38" s="2" t="str">
        <f t="shared" si="3"/>
        <v>dalawa</v>
      </c>
      <c r="I38" s="19" t="s">
        <v>2890</v>
      </c>
      <c r="J38" s="2" t="s">
        <v>2112</v>
      </c>
      <c r="K38" s="2" t="s">
        <v>2113</v>
      </c>
      <c r="L38" s="2" t="s">
        <v>2052</v>
      </c>
      <c r="M38" s="2" t="s">
        <v>2023</v>
      </c>
      <c r="N38" s="2" t="s">
        <v>2110</v>
      </c>
      <c r="O38" s="2" t="s">
        <v>2111</v>
      </c>
    </row>
    <row r="39" spans="1:16" ht="15.75" customHeight="1" x14ac:dyDescent="0.15">
      <c r="A39" s="2" t="s">
        <v>2002</v>
      </c>
      <c r="B39" s="19" t="s">
        <v>2853</v>
      </c>
      <c r="C39" s="2" t="str">
        <f t="shared" ref="C39:D39" si="39">M39</f>
        <v>partial</v>
      </c>
      <c r="D39" s="2" t="str">
        <f t="shared" si="39"/>
        <v>numeral_restrictive</v>
      </c>
      <c r="E39" s="2"/>
      <c r="F39" s="2" t="str">
        <f t="shared" si="1"/>
        <v>What is the root word of the word \"miminsan\"?</v>
      </c>
      <c r="G39" s="2" t="str">
        <f t="shared" si="2"/>
        <v>Ano ang salitang-ugat ng salitang \"miminsan\"?</v>
      </c>
      <c r="H39" s="2" t="str">
        <f t="shared" si="3"/>
        <v>minsan</v>
      </c>
      <c r="I39" s="19" t="s">
        <v>2891</v>
      </c>
      <c r="J39" s="2" t="s">
        <v>2114</v>
      </c>
      <c r="K39" s="2" t="s">
        <v>2115</v>
      </c>
      <c r="L39" s="2" t="s">
        <v>2116</v>
      </c>
      <c r="M39" s="2" t="s">
        <v>2023</v>
      </c>
      <c r="N39" s="2" t="s">
        <v>2110</v>
      </c>
      <c r="O39" s="2" t="s">
        <v>2111</v>
      </c>
      <c r="P39" s="2" t="s">
        <v>166</v>
      </c>
    </row>
    <row r="40" spans="1:16" ht="15.75" customHeight="1" x14ac:dyDescent="0.15">
      <c r="A40" s="2" t="s">
        <v>2002</v>
      </c>
      <c r="B40" s="19" t="s">
        <v>2853</v>
      </c>
      <c r="C40" s="2" t="str">
        <f t="shared" ref="C40:D40" si="40">M40</f>
        <v>partial</v>
      </c>
      <c r="D40" s="2" t="str">
        <f t="shared" si="40"/>
        <v>numeral_restrictive</v>
      </c>
      <c r="E40" s="2"/>
      <c r="F40" s="2" t="str">
        <f t="shared" si="1"/>
        <v>What is the root word of the word \"pipiso\"?</v>
      </c>
      <c r="G40" s="2" t="str">
        <f t="shared" si="2"/>
        <v>Ano ang salitang-ugat ng salitang \"pipiso\"?</v>
      </c>
      <c r="H40" s="2" t="str">
        <f t="shared" si="3"/>
        <v>piso</v>
      </c>
      <c r="I40" s="19" t="s">
        <v>2892</v>
      </c>
      <c r="J40" s="2" t="s">
        <v>2117</v>
      </c>
      <c r="K40" s="2" t="s">
        <v>2118</v>
      </c>
      <c r="L40" s="2" t="s">
        <v>2119</v>
      </c>
      <c r="M40" s="2" t="s">
        <v>2023</v>
      </c>
      <c r="N40" s="2" t="s">
        <v>2110</v>
      </c>
      <c r="O40" s="2" t="s">
        <v>2111</v>
      </c>
      <c r="P40" s="2" t="s">
        <v>166</v>
      </c>
    </row>
    <row r="41" spans="1:16" ht="15.75" customHeight="1" x14ac:dyDescent="0.15">
      <c r="A41" s="2" t="s">
        <v>2002</v>
      </c>
      <c r="B41" s="19" t="s">
        <v>2853</v>
      </c>
      <c r="C41" s="2" t="str">
        <f t="shared" ref="C41:D41" si="41">M41</f>
        <v>partial</v>
      </c>
      <c r="D41" s="2" t="str">
        <f t="shared" si="41"/>
        <v>numeral_restrictive</v>
      </c>
      <c r="E41" s="2"/>
      <c r="F41" s="2" t="str">
        <f t="shared" si="1"/>
        <v>What is the root word of the word \"tigte-tres\"?</v>
      </c>
      <c r="G41" s="2" t="str">
        <f t="shared" si="2"/>
        <v>Ano ang salitang-ugat ng salitang \"tigte-tres\"?</v>
      </c>
      <c r="H41" s="2" t="str">
        <f t="shared" si="3"/>
        <v>tres</v>
      </c>
      <c r="I41" s="19" t="s">
        <v>2893</v>
      </c>
      <c r="J41" s="2" t="s">
        <v>2120</v>
      </c>
      <c r="K41" s="2" t="s">
        <v>2121</v>
      </c>
      <c r="L41" s="2" t="s">
        <v>2122</v>
      </c>
      <c r="M41" s="2" t="s">
        <v>2023</v>
      </c>
      <c r="N41" s="2" t="s">
        <v>2110</v>
      </c>
      <c r="O41" s="2" t="s">
        <v>2111</v>
      </c>
    </row>
    <row r="42" spans="1:16" ht="15.75" customHeight="1" x14ac:dyDescent="0.15">
      <c r="A42" s="2" t="s">
        <v>2002</v>
      </c>
      <c r="B42" s="19" t="s">
        <v>2853</v>
      </c>
      <c r="C42" s="2" t="str">
        <f t="shared" ref="C42:D42" si="42">M42</f>
        <v>partial</v>
      </c>
      <c r="D42" s="2" t="str">
        <f t="shared" si="42"/>
        <v>numeral_restrictive</v>
      </c>
      <c r="E42" s="2"/>
      <c r="F42" s="2" t="str">
        <f t="shared" si="1"/>
        <v>What is the root word of the word \"sasampu\"?</v>
      </c>
      <c r="G42" s="2" t="str">
        <f t="shared" si="2"/>
        <v>Ano ang salitang-ugat ng salitang \"sasampu\"?</v>
      </c>
      <c r="H42" s="2" t="str">
        <f t="shared" si="3"/>
        <v>sampu</v>
      </c>
      <c r="I42" s="19" t="s">
        <v>2894</v>
      </c>
      <c r="J42" s="2" t="s">
        <v>2123</v>
      </c>
      <c r="K42" s="2" t="s">
        <v>2124</v>
      </c>
      <c r="L42" s="2" t="s">
        <v>525</v>
      </c>
      <c r="M42" s="2" t="s">
        <v>2023</v>
      </c>
      <c r="N42" s="2" t="s">
        <v>2110</v>
      </c>
      <c r="O42" s="2" t="s">
        <v>2111</v>
      </c>
      <c r="P42" s="2" t="s">
        <v>166</v>
      </c>
    </row>
    <row r="43" spans="1:16" ht="15.75" customHeight="1" x14ac:dyDescent="0.15">
      <c r="A43" s="2" t="s">
        <v>2002</v>
      </c>
      <c r="B43" s="19" t="s">
        <v>2853</v>
      </c>
      <c r="C43" s="2" t="str">
        <f t="shared" ref="C43:D43" si="43">M43</f>
        <v>partial</v>
      </c>
      <c r="D43" s="2" t="str">
        <f t="shared" si="43"/>
        <v>numeral_restrictive</v>
      </c>
      <c r="E43" s="2"/>
      <c r="F43" s="2" t="str">
        <f t="shared" si="1"/>
        <v>What is the root word of the word \"tetrese\"?</v>
      </c>
      <c r="G43" s="2" t="str">
        <f t="shared" si="2"/>
        <v>Ano ang salitang-ugat ng salitang \"tetrese\"?</v>
      </c>
      <c r="H43" s="2" t="str">
        <f t="shared" si="3"/>
        <v>trese</v>
      </c>
      <c r="I43" s="19" t="s">
        <v>2895</v>
      </c>
      <c r="J43" s="2" t="s">
        <v>2125</v>
      </c>
      <c r="K43" s="2" t="s">
        <v>2126</v>
      </c>
      <c r="L43" s="2" t="s">
        <v>2122</v>
      </c>
      <c r="M43" s="2" t="s">
        <v>2023</v>
      </c>
      <c r="N43" s="2" t="s">
        <v>2110</v>
      </c>
      <c r="O43" s="2" t="s">
        <v>2111</v>
      </c>
    </row>
    <row r="44" spans="1:16" ht="15.75" customHeight="1" x14ac:dyDescent="0.15">
      <c r="A44" s="2" t="s">
        <v>2002</v>
      </c>
      <c r="B44" s="19" t="s">
        <v>2853</v>
      </c>
      <c r="C44" s="2" t="str">
        <f t="shared" ref="C44:D44" si="44">M44</f>
        <v>partial</v>
      </c>
      <c r="D44" s="2" t="str">
        <f t="shared" si="44"/>
        <v>verb_time</v>
      </c>
      <c r="E44" s="2"/>
      <c r="F44" s="2" t="str">
        <f t="shared" si="1"/>
        <v>What is the root word of the word \"pupunta\"?</v>
      </c>
      <c r="G44" s="2" t="str">
        <f t="shared" si="2"/>
        <v>Ano ang salitang-ugat ng salitang \"pupunta\"?</v>
      </c>
      <c r="H44" s="2" t="str">
        <f t="shared" si="3"/>
        <v>punta</v>
      </c>
      <c r="I44" s="19" t="s">
        <v>2896</v>
      </c>
      <c r="J44" s="2" t="s">
        <v>2127</v>
      </c>
      <c r="K44" s="2" t="s">
        <v>477</v>
      </c>
      <c r="L44" s="2" t="s">
        <v>2055</v>
      </c>
      <c r="M44" s="2" t="s">
        <v>2023</v>
      </c>
      <c r="N44" s="2" t="s">
        <v>2128</v>
      </c>
      <c r="O44" s="2" t="s">
        <v>2129</v>
      </c>
      <c r="P44" s="2" t="s">
        <v>166</v>
      </c>
    </row>
    <row r="45" spans="1:16" ht="15.75" customHeight="1" x14ac:dyDescent="0.15">
      <c r="A45" s="2" t="s">
        <v>2002</v>
      </c>
      <c r="B45" s="19" t="s">
        <v>2853</v>
      </c>
      <c r="C45" s="2" t="str">
        <f t="shared" ref="C45:D45" si="45">M45</f>
        <v>partial</v>
      </c>
      <c r="D45" s="2" t="str">
        <f t="shared" si="45"/>
        <v>verb_time</v>
      </c>
      <c r="E45" s="2"/>
      <c r="F45" s="2" t="str">
        <f t="shared" si="1"/>
        <v>What is the root word of the word \"kakain\"?</v>
      </c>
      <c r="G45" s="2" t="str">
        <f t="shared" si="2"/>
        <v>Ano ang salitang-ugat ng salitang \"kakain\"?</v>
      </c>
      <c r="H45" s="2" t="str">
        <f t="shared" si="3"/>
        <v>kain</v>
      </c>
      <c r="I45" s="19" t="s">
        <v>2897</v>
      </c>
      <c r="J45" s="2" t="s">
        <v>2130</v>
      </c>
      <c r="K45" s="2" t="s">
        <v>379</v>
      </c>
      <c r="L45" s="2" t="s">
        <v>529</v>
      </c>
      <c r="M45" s="2" t="s">
        <v>2023</v>
      </c>
      <c r="N45" s="2" t="s">
        <v>2128</v>
      </c>
      <c r="O45" s="2" t="s">
        <v>2129</v>
      </c>
      <c r="P45" s="2" t="s">
        <v>166</v>
      </c>
    </row>
    <row r="46" spans="1:16" ht="15.75" customHeight="1" x14ac:dyDescent="0.15">
      <c r="A46" s="2" t="s">
        <v>2002</v>
      </c>
      <c r="B46" s="19" t="s">
        <v>2853</v>
      </c>
      <c r="C46" s="2" t="str">
        <f t="shared" ref="C46:D46" si="46">M46</f>
        <v>partial</v>
      </c>
      <c r="D46" s="2" t="str">
        <f t="shared" si="46"/>
        <v>verb_time</v>
      </c>
      <c r="E46" s="2"/>
      <c r="F46" s="2" t="str">
        <f t="shared" si="1"/>
        <v>What is the root word of the word \"sasayaw\"?</v>
      </c>
      <c r="G46" s="2" t="str">
        <f t="shared" si="2"/>
        <v>Ano ang salitang-ugat ng salitang \"sasayaw\"?</v>
      </c>
      <c r="H46" s="2" t="str">
        <f t="shared" si="3"/>
        <v>sayaw</v>
      </c>
      <c r="I46" s="19" t="s">
        <v>2898</v>
      </c>
      <c r="J46" s="2" t="s">
        <v>2131</v>
      </c>
      <c r="K46" s="2" t="s">
        <v>399</v>
      </c>
      <c r="L46" s="2" t="s">
        <v>525</v>
      </c>
      <c r="M46" s="2" t="s">
        <v>2023</v>
      </c>
      <c r="N46" s="2" t="s">
        <v>2128</v>
      </c>
      <c r="O46" s="2" t="s">
        <v>2129</v>
      </c>
      <c r="P46" s="2" t="s">
        <v>166</v>
      </c>
    </row>
    <row r="47" spans="1:16" ht="15.75" customHeight="1" x14ac:dyDescent="0.15">
      <c r="A47" s="2" t="s">
        <v>2002</v>
      </c>
      <c r="B47" s="19" t="s">
        <v>2853</v>
      </c>
      <c r="C47" s="2" t="str">
        <f t="shared" ref="C47:D47" si="47">M47</f>
        <v>partial</v>
      </c>
      <c r="D47" s="2" t="str">
        <f t="shared" si="47"/>
        <v>verb_time</v>
      </c>
      <c r="E47" s="2"/>
      <c r="F47" s="2" t="str">
        <f t="shared" si="1"/>
        <v>What is the root word of the word \"kakanta\"?</v>
      </c>
      <c r="G47" s="2" t="str">
        <f t="shared" si="2"/>
        <v>Ano ang salitang-ugat ng salitang \"kakanta\"?</v>
      </c>
      <c r="H47" s="2" t="str">
        <f t="shared" si="3"/>
        <v>kanta</v>
      </c>
      <c r="I47" s="19" t="s">
        <v>2899</v>
      </c>
      <c r="J47" s="2" t="s">
        <v>2132</v>
      </c>
      <c r="K47" s="2" t="s">
        <v>190</v>
      </c>
      <c r="L47" s="2" t="s">
        <v>529</v>
      </c>
      <c r="M47" s="2" t="s">
        <v>2023</v>
      </c>
      <c r="N47" s="2" t="s">
        <v>2128</v>
      </c>
      <c r="O47" s="2" t="s">
        <v>2129</v>
      </c>
      <c r="P47" s="2" t="s">
        <v>166</v>
      </c>
    </row>
    <row r="48" spans="1:16" ht="15.75" customHeight="1" x14ac:dyDescent="0.15">
      <c r="A48" s="2" t="s">
        <v>2002</v>
      </c>
      <c r="B48" s="19" t="s">
        <v>2853</v>
      </c>
      <c r="C48" s="2" t="str">
        <f t="shared" ref="C48:D48" si="48">M48</f>
        <v>partial</v>
      </c>
      <c r="D48" s="2" t="str">
        <f t="shared" si="48"/>
        <v>verb_time</v>
      </c>
      <c r="E48" s="2"/>
      <c r="F48" s="2" t="str">
        <f t="shared" si="1"/>
        <v>What is the root word of the word \"aawit\"?</v>
      </c>
      <c r="G48" s="2" t="str">
        <f t="shared" si="2"/>
        <v>Ano ang salitang-ugat ng salitang \"aawit\"?</v>
      </c>
      <c r="H48" s="2" t="str">
        <f t="shared" si="3"/>
        <v>awit</v>
      </c>
      <c r="I48" s="19" t="s">
        <v>2900</v>
      </c>
      <c r="J48" s="2" t="s">
        <v>2133</v>
      </c>
      <c r="K48" s="2" t="s">
        <v>289</v>
      </c>
      <c r="L48" s="2" t="s">
        <v>1810</v>
      </c>
      <c r="M48" s="2" t="s">
        <v>2023</v>
      </c>
      <c r="N48" s="2" t="s">
        <v>2128</v>
      </c>
      <c r="O48" s="2" t="s">
        <v>2129</v>
      </c>
      <c r="P48" s="2" t="s">
        <v>166</v>
      </c>
    </row>
    <row r="49" spans="1:16" ht="15.75" customHeight="1" x14ac:dyDescent="0.15">
      <c r="A49" s="2" t="s">
        <v>2002</v>
      </c>
      <c r="B49" s="19" t="s">
        <v>2853</v>
      </c>
      <c r="C49" s="2" t="str">
        <f t="shared" ref="C49:D49" si="49">M49</f>
        <v>partial</v>
      </c>
      <c r="D49" s="2" t="str">
        <f t="shared" si="49"/>
        <v>verb_time</v>
      </c>
      <c r="E49" s="2"/>
      <c r="F49" s="2" t="str">
        <f t="shared" si="1"/>
        <v>What is the root word of the word \"susulat\"?</v>
      </c>
      <c r="G49" s="2" t="str">
        <f t="shared" si="2"/>
        <v>Ano ang salitang-ugat ng salitang \"susulat\"?</v>
      </c>
      <c r="H49" s="2" t="str">
        <f t="shared" si="3"/>
        <v>sulat</v>
      </c>
      <c r="I49" s="19" t="s">
        <v>2901</v>
      </c>
      <c r="J49" s="2" t="s">
        <v>2134</v>
      </c>
      <c r="K49" s="2" t="s">
        <v>285</v>
      </c>
      <c r="L49" s="2" t="s">
        <v>2135</v>
      </c>
      <c r="M49" s="2" t="s">
        <v>2023</v>
      </c>
      <c r="N49" s="2" t="s">
        <v>2128</v>
      </c>
      <c r="O49" s="2" t="s">
        <v>2129</v>
      </c>
      <c r="P49" s="2" t="s">
        <v>166</v>
      </c>
    </row>
    <row r="50" spans="1:16" ht="15.75" customHeight="1" x14ac:dyDescent="0.15">
      <c r="A50" s="2" t="s">
        <v>2002</v>
      </c>
      <c r="B50" s="19" t="s">
        <v>2853</v>
      </c>
      <c r="C50" s="2" t="str">
        <f t="shared" ref="C50:D50" si="50">M50</f>
        <v>partial</v>
      </c>
      <c r="D50" s="2" t="str">
        <f t="shared" si="50"/>
        <v>verb_time</v>
      </c>
      <c r="E50" s="2"/>
      <c r="F50" s="2" t="str">
        <f t="shared" si="1"/>
        <v>What is the root word of the word \"nagwawalis\"?</v>
      </c>
      <c r="G50" s="2" t="str">
        <f t="shared" si="2"/>
        <v>Ano ang salitang-ugat ng salitang \"nagwawalis\"?</v>
      </c>
      <c r="H50" s="2" t="str">
        <f t="shared" si="3"/>
        <v>walis</v>
      </c>
      <c r="I50" s="19" t="s">
        <v>2902</v>
      </c>
      <c r="J50" s="2" t="s">
        <v>2136</v>
      </c>
      <c r="K50" s="2" t="s">
        <v>303</v>
      </c>
      <c r="L50" s="2" t="s">
        <v>2137</v>
      </c>
      <c r="M50" s="2" t="s">
        <v>2023</v>
      </c>
      <c r="N50" s="2" t="s">
        <v>2128</v>
      </c>
      <c r="O50" s="2" t="s">
        <v>2129</v>
      </c>
    </row>
    <row r="51" spans="1:16" ht="15.75" customHeight="1" x14ac:dyDescent="0.15">
      <c r="A51" s="2" t="s">
        <v>2002</v>
      </c>
      <c r="B51" s="19" t="s">
        <v>2853</v>
      </c>
      <c r="C51" s="2" t="str">
        <f t="shared" ref="C51:D51" si="51">M51</f>
        <v>partial</v>
      </c>
      <c r="D51" s="2" t="str">
        <f t="shared" si="51"/>
        <v>verb_time</v>
      </c>
      <c r="E51" s="2"/>
      <c r="F51" s="2" t="str">
        <f t="shared" si="1"/>
        <v>What is the root word of the word \"aalis\"?</v>
      </c>
      <c r="G51" s="2" t="str">
        <f t="shared" si="2"/>
        <v>Ano ang salitang-ugat ng salitang \"aalis\"?</v>
      </c>
      <c r="H51" s="2" t="str">
        <f t="shared" si="3"/>
        <v>alis</v>
      </c>
      <c r="I51" s="19" t="s">
        <v>2903</v>
      </c>
      <c r="J51" s="2" t="s">
        <v>2138</v>
      </c>
      <c r="K51" s="2" t="s">
        <v>301</v>
      </c>
      <c r="L51" s="2" t="s">
        <v>1810</v>
      </c>
      <c r="M51" s="2" t="s">
        <v>2023</v>
      </c>
      <c r="N51" s="2" t="s">
        <v>2128</v>
      </c>
      <c r="O51" s="2" t="s">
        <v>2129</v>
      </c>
      <c r="P51" s="2" t="s">
        <v>166</v>
      </c>
    </row>
    <row r="52" spans="1:16" ht="15.75" customHeight="1" x14ac:dyDescent="0.15">
      <c r="A52" s="2" t="s">
        <v>2002</v>
      </c>
      <c r="B52" s="19" t="s">
        <v>2853</v>
      </c>
      <c r="C52" s="2" t="str">
        <f t="shared" ref="C52:D52" si="52">M52</f>
        <v>partial</v>
      </c>
      <c r="D52" s="2" t="str">
        <f t="shared" si="52"/>
        <v>verb_time</v>
      </c>
      <c r="E52" s="2"/>
      <c r="F52" s="2" t="str">
        <f t="shared" si="1"/>
        <v>What is the root word of the word \"tatakbo\"?</v>
      </c>
      <c r="G52" s="2" t="str">
        <f t="shared" si="2"/>
        <v>Ano ang salitang-ugat ng salitang \"tatakbo\"?</v>
      </c>
      <c r="H52" s="2" t="str">
        <f t="shared" si="3"/>
        <v>takbo</v>
      </c>
      <c r="I52" s="19" t="s">
        <v>2904</v>
      </c>
      <c r="J52" s="2" t="s">
        <v>2139</v>
      </c>
      <c r="K52" s="2" t="s">
        <v>381</v>
      </c>
      <c r="L52" s="2" t="s">
        <v>2040</v>
      </c>
      <c r="M52" s="2" t="s">
        <v>2023</v>
      </c>
      <c r="N52" s="2" t="s">
        <v>2128</v>
      </c>
      <c r="O52" s="2" t="s">
        <v>2129</v>
      </c>
      <c r="P52" s="2" t="s">
        <v>166</v>
      </c>
    </row>
    <row r="53" spans="1:16" ht="15.75" customHeight="1" x14ac:dyDescent="0.15">
      <c r="A53" s="2" t="s">
        <v>2002</v>
      </c>
      <c r="B53" s="19" t="s">
        <v>2853</v>
      </c>
      <c r="C53" s="2" t="str">
        <f t="shared" ref="C53:D53" si="53">M53</f>
        <v>partial</v>
      </c>
      <c r="D53" s="2" t="str">
        <f t="shared" si="53"/>
        <v>verb_time</v>
      </c>
      <c r="E53" s="2"/>
      <c r="F53" s="2" t="str">
        <f t="shared" si="1"/>
        <v>What is the root word of the word \"tumataob\"?</v>
      </c>
      <c r="G53" s="2" t="str">
        <f t="shared" si="2"/>
        <v>Ano ang salitang-ugat ng salitang \"tumataob\"?</v>
      </c>
      <c r="H53" s="2" t="str">
        <f t="shared" si="3"/>
        <v>taob</v>
      </c>
      <c r="I53" s="19" t="s">
        <v>2905</v>
      </c>
      <c r="J53" s="2" t="s">
        <v>2140</v>
      </c>
      <c r="K53" s="2" t="s">
        <v>2141</v>
      </c>
      <c r="L53" s="2" t="s">
        <v>2040</v>
      </c>
      <c r="M53" s="2" t="s">
        <v>2023</v>
      </c>
      <c r="N53" s="2" t="s">
        <v>2128</v>
      </c>
      <c r="O53" s="2" t="s">
        <v>2129</v>
      </c>
    </row>
    <row r="54" spans="1:16" ht="15.75" customHeight="1" x14ac:dyDescent="0.15">
      <c r="A54" s="2" t="s">
        <v>2002</v>
      </c>
      <c r="B54" s="19" t="s">
        <v>2853</v>
      </c>
      <c r="C54" s="2" t="str">
        <f t="shared" ref="C54:D54" si="54">M54</f>
        <v>partial</v>
      </c>
      <c r="D54" s="2" t="str">
        <f t="shared" si="54"/>
        <v>verb_time</v>
      </c>
      <c r="E54" s="2"/>
      <c r="F54" s="2" t="str">
        <f t="shared" si="1"/>
        <v>What is the root word of the word \"ninanamnam\"?</v>
      </c>
      <c r="G54" s="2" t="str">
        <f t="shared" si="2"/>
        <v>Ano ang salitang-ugat ng salitang \"ninanamnam\"?</v>
      </c>
      <c r="H54" s="2" t="str">
        <f t="shared" si="3"/>
        <v>namnam</v>
      </c>
      <c r="I54" s="19" t="s">
        <v>2906</v>
      </c>
      <c r="J54" s="2" t="s">
        <v>2142</v>
      </c>
      <c r="K54" s="2" t="s">
        <v>2143</v>
      </c>
      <c r="L54" s="2" t="s">
        <v>2144</v>
      </c>
      <c r="M54" s="2" t="s">
        <v>2023</v>
      </c>
      <c r="N54" s="2" t="s">
        <v>2128</v>
      </c>
      <c r="O54" s="2" t="s">
        <v>2129</v>
      </c>
    </row>
    <row r="55" spans="1:16" ht="15.75" customHeight="1" x14ac:dyDescent="0.15">
      <c r="A55" s="2" t="s">
        <v>2002</v>
      </c>
      <c r="B55" s="19" t="s">
        <v>2853</v>
      </c>
      <c r="C55" s="2" t="str">
        <f t="shared" ref="C55:D55" si="55">M55</f>
        <v>partial</v>
      </c>
      <c r="D55" s="2" t="str">
        <f t="shared" si="55"/>
        <v>verb_just</v>
      </c>
      <c r="E55" s="2"/>
      <c r="F55" s="2" t="str">
        <f t="shared" si="1"/>
        <v>What is the root word of the word \"kalalaba\"?</v>
      </c>
      <c r="G55" s="2" t="str">
        <f t="shared" si="2"/>
        <v>Ano ang salitang-ugat ng salitang \"kalalaba\"?</v>
      </c>
      <c r="H55" s="2" t="str">
        <f t="shared" si="3"/>
        <v>laba</v>
      </c>
      <c r="I55" s="19" t="s">
        <v>2907</v>
      </c>
      <c r="J55" s="2" t="s">
        <v>2145</v>
      </c>
      <c r="K55" s="2" t="s">
        <v>479</v>
      </c>
      <c r="L55" s="2" t="s">
        <v>2146</v>
      </c>
      <c r="M55" s="2" t="s">
        <v>2023</v>
      </c>
      <c r="N55" s="2" t="s">
        <v>2147</v>
      </c>
      <c r="O55" s="2" t="s">
        <v>2148</v>
      </c>
    </row>
    <row r="56" spans="1:16" ht="15.75" customHeight="1" x14ac:dyDescent="0.15">
      <c r="A56" s="2" t="s">
        <v>2002</v>
      </c>
      <c r="B56" s="19" t="s">
        <v>2853</v>
      </c>
      <c r="C56" s="2" t="str">
        <f t="shared" ref="C56:D56" si="56">M56</f>
        <v>partial</v>
      </c>
      <c r="D56" s="2" t="str">
        <f t="shared" si="56"/>
        <v>verb_just</v>
      </c>
      <c r="E56" s="2"/>
      <c r="F56" s="2" t="str">
        <f t="shared" si="1"/>
        <v>What is the root word of the word \"kakakain\"?</v>
      </c>
      <c r="G56" s="2" t="str">
        <f t="shared" si="2"/>
        <v>Ano ang salitang-ugat ng salitang \"kakakain\"?</v>
      </c>
      <c r="H56" s="2" t="str">
        <f t="shared" si="3"/>
        <v>kain</v>
      </c>
      <c r="I56" s="19" t="s">
        <v>2908</v>
      </c>
      <c r="J56" s="2" t="s">
        <v>1709</v>
      </c>
      <c r="K56" s="2" t="s">
        <v>379</v>
      </c>
      <c r="L56" s="2" t="s">
        <v>529</v>
      </c>
      <c r="M56" s="2" t="s">
        <v>2023</v>
      </c>
      <c r="N56" s="2" t="s">
        <v>2147</v>
      </c>
      <c r="O56" s="2" t="s">
        <v>2148</v>
      </c>
    </row>
    <row r="57" spans="1:16" ht="15.75" customHeight="1" x14ac:dyDescent="0.15">
      <c r="A57" s="2" t="s">
        <v>2002</v>
      </c>
      <c r="B57" s="19" t="s">
        <v>2853</v>
      </c>
      <c r="C57" s="2" t="str">
        <f t="shared" ref="C57:D57" si="57">M57</f>
        <v>partial</v>
      </c>
      <c r="D57" s="2" t="str">
        <f t="shared" si="57"/>
        <v>verb_just</v>
      </c>
      <c r="E57" s="2"/>
      <c r="F57" s="2" t="str">
        <f t="shared" si="1"/>
        <v>What is the root word of the word \"kabababa\"?</v>
      </c>
      <c r="G57" s="2" t="str">
        <f t="shared" si="2"/>
        <v>Ano ang salitang-ugat ng salitang \"kabababa\"?</v>
      </c>
      <c r="H57" s="2" t="str">
        <f t="shared" si="3"/>
        <v>baba</v>
      </c>
      <c r="I57" s="19" t="s">
        <v>2909</v>
      </c>
      <c r="J57" s="2" t="s">
        <v>1710</v>
      </c>
      <c r="K57" s="2" t="s">
        <v>2149</v>
      </c>
      <c r="L57" s="2" t="s">
        <v>533</v>
      </c>
      <c r="M57" s="2" t="s">
        <v>2023</v>
      </c>
      <c r="N57" s="2" t="s">
        <v>2147</v>
      </c>
      <c r="O57" s="2" t="s">
        <v>2148</v>
      </c>
    </row>
    <row r="58" spans="1:16" ht="15.75" customHeight="1" x14ac:dyDescent="0.15">
      <c r="A58" s="2" t="s">
        <v>2002</v>
      </c>
      <c r="B58" s="19" t="s">
        <v>2853</v>
      </c>
      <c r="C58" s="2" t="str">
        <f t="shared" ref="C58:D58" si="58">M58</f>
        <v>partial</v>
      </c>
      <c r="D58" s="2" t="str">
        <f t="shared" si="58"/>
        <v>verb_just</v>
      </c>
      <c r="E58" s="2"/>
      <c r="F58" s="2" t="str">
        <f t="shared" si="1"/>
        <v>What is the root word of the word \"kasasaing\"?</v>
      </c>
      <c r="G58" s="2" t="str">
        <f t="shared" si="2"/>
        <v>Ano ang salitang-ugat ng salitang \"kasasaing\"?</v>
      </c>
      <c r="H58" s="2" t="str">
        <f t="shared" si="3"/>
        <v>saing</v>
      </c>
      <c r="I58" s="19" t="s">
        <v>2910</v>
      </c>
      <c r="J58" s="2" t="s">
        <v>1711</v>
      </c>
      <c r="K58" s="2" t="s">
        <v>2150</v>
      </c>
      <c r="L58" s="2" t="s">
        <v>525</v>
      </c>
      <c r="M58" s="2" t="s">
        <v>2023</v>
      </c>
      <c r="N58" s="2" t="s">
        <v>2147</v>
      </c>
      <c r="O58" s="2" t="s">
        <v>2148</v>
      </c>
    </row>
    <row r="59" spans="1:16" ht="15.75" customHeight="1" x14ac:dyDescent="0.15">
      <c r="A59" s="2" t="s">
        <v>2002</v>
      </c>
      <c r="B59" s="19" t="s">
        <v>2853</v>
      </c>
      <c r="C59" s="2" t="str">
        <f t="shared" ref="C59:D59" si="59">M59</f>
        <v>partial</v>
      </c>
      <c r="D59" s="2" t="str">
        <f t="shared" si="59"/>
        <v>verb_just</v>
      </c>
      <c r="E59" s="2"/>
      <c r="F59" s="2" t="str">
        <f t="shared" si="1"/>
        <v>What is the root word of the word \"kasasampay\"?</v>
      </c>
      <c r="G59" s="2" t="str">
        <f t="shared" si="2"/>
        <v>Ano ang salitang-ugat ng salitang \"kasasampay\"?</v>
      </c>
      <c r="H59" s="2" t="str">
        <f t="shared" si="3"/>
        <v>sampay</v>
      </c>
      <c r="I59" s="19" t="s">
        <v>2911</v>
      </c>
      <c r="J59" s="2" t="s">
        <v>1712</v>
      </c>
      <c r="K59" s="2" t="s">
        <v>2151</v>
      </c>
      <c r="L59" s="2" t="s">
        <v>525</v>
      </c>
      <c r="M59" s="2" t="s">
        <v>2023</v>
      </c>
      <c r="N59" s="2" t="s">
        <v>2147</v>
      </c>
      <c r="O59" s="2" t="s">
        <v>2148</v>
      </c>
    </row>
    <row r="60" spans="1:16" ht="15.75" customHeight="1" x14ac:dyDescent="0.15">
      <c r="A60" s="2" t="s">
        <v>2002</v>
      </c>
      <c r="B60" s="19" t="s">
        <v>2853</v>
      </c>
      <c r="C60" s="2" t="str">
        <f t="shared" ref="C60:D60" si="60">M60</f>
        <v>partial</v>
      </c>
      <c r="D60" s="2" t="str">
        <f t="shared" si="60"/>
        <v>verb_just</v>
      </c>
      <c r="E60" s="2"/>
      <c r="F60" s="2" t="str">
        <f t="shared" si="1"/>
        <v>What is the root word of the word \"kalalakad\"?</v>
      </c>
      <c r="G60" s="2" t="str">
        <f t="shared" si="2"/>
        <v>Ano ang salitang-ugat ng salitang \"kalalakad\"?</v>
      </c>
      <c r="H60" s="2" t="str">
        <f t="shared" si="3"/>
        <v>lakad</v>
      </c>
      <c r="I60" s="19" t="s">
        <v>2912</v>
      </c>
      <c r="J60" s="2" t="s">
        <v>1713</v>
      </c>
      <c r="K60" s="2" t="s">
        <v>2152</v>
      </c>
      <c r="L60" s="2" t="s">
        <v>2146</v>
      </c>
      <c r="M60" s="2" t="s">
        <v>2023</v>
      </c>
      <c r="N60" s="2" t="s">
        <v>2147</v>
      </c>
      <c r="O60" s="2" t="s">
        <v>2148</v>
      </c>
    </row>
    <row r="61" spans="1:16" ht="15.75" customHeight="1" x14ac:dyDescent="0.15">
      <c r="A61" s="2" t="s">
        <v>2002</v>
      </c>
      <c r="B61" s="19" t="s">
        <v>2853</v>
      </c>
      <c r="C61" s="2" t="str">
        <f t="shared" ref="C61:D61" si="61">M61</f>
        <v>partial</v>
      </c>
      <c r="D61" s="2" t="str">
        <f t="shared" si="61"/>
        <v>verb_just</v>
      </c>
      <c r="E61" s="2"/>
      <c r="F61" s="2" t="str">
        <f t="shared" si="1"/>
        <v>What is the root word of the word \"kaaalis\"?</v>
      </c>
      <c r="G61" s="2" t="str">
        <f t="shared" si="2"/>
        <v>Ano ang salitang-ugat ng salitang \"kaaalis\"?</v>
      </c>
      <c r="H61" s="2" t="str">
        <f t="shared" si="3"/>
        <v>alis</v>
      </c>
      <c r="I61" s="19" t="s">
        <v>2913</v>
      </c>
      <c r="J61" s="2" t="s">
        <v>1714</v>
      </c>
      <c r="K61" s="2" t="s">
        <v>301</v>
      </c>
      <c r="L61" s="2" t="s">
        <v>1810</v>
      </c>
      <c r="M61" s="2" t="s">
        <v>2023</v>
      </c>
      <c r="N61" s="2" t="s">
        <v>2147</v>
      </c>
      <c r="O61" s="2" t="s">
        <v>2148</v>
      </c>
    </row>
    <row r="62" spans="1:16" ht="15.75" customHeight="1" x14ac:dyDescent="0.15">
      <c r="A62" s="2" t="s">
        <v>2002</v>
      </c>
      <c r="B62" s="19" t="s">
        <v>2853</v>
      </c>
      <c r="C62" s="2" t="str">
        <f t="shared" ref="C62:D62" si="62">M62</f>
        <v>partial</v>
      </c>
      <c r="D62" s="2" t="str">
        <f t="shared" si="62"/>
        <v>verb_just</v>
      </c>
      <c r="E62" s="2"/>
      <c r="F62" s="2" t="str">
        <f t="shared" si="1"/>
        <v>What is the root word of the word \"kauuwi\"?</v>
      </c>
      <c r="G62" s="2" t="str">
        <f t="shared" si="2"/>
        <v>Ano ang salitang-ugat ng salitang \"kauuwi\"?</v>
      </c>
      <c r="H62" s="2" t="str">
        <f t="shared" si="3"/>
        <v>uwi</v>
      </c>
      <c r="I62" s="19" t="s">
        <v>2914</v>
      </c>
      <c r="J62" s="2" t="s">
        <v>1715</v>
      </c>
      <c r="K62" s="2" t="s">
        <v>2153</v>
      </c>
      <c r="L62" s="2" t="s">
        <v>1818</v>
      </c>
      <c r="M62" s="2" t="s">
        <v>2023</v>
      </c>
      <c r="N62" s="2" t="s">
        <v>2147</v>
      </c>
      <c r="O62" s="2" t="s">
        <v>2148</v>
      </c>
    </row>
    <row r="63" spans="1:16" ht="15.75" customHeight="1" x14ac:dyDescent="0.15">
      <c r="A63" s="2" t="s">
        <v>2002</v>
      </c>
      <c r="B63" s="19" t="s">
        <v>2853</v>
      </c>
      <c r="C63" s="2" t="str">
        <f t="shared" ref="C63:D63" si="63">M63</f>
        <v>full</v>
      </c>
      <c r="D63" s="2" t="str">
        <f t="shared" si="63"/>
        <v>pronoun</v>
      </c>
      <c r="E63" s="2"/>
      <c r="F63" s="2" t="str">
        <f t="shared" si="1"/>
        <v>What is the root word of the word \"sila-sila\"?</v>
      </c>
      <c r="G63" s="2" t="str">
        <f t="shared" si="2"/>
        <v>Ano ang salitang-ugat ng salitang \"sila-sila\"?</v>
      </c>
      <c r="H63" s="2" t="str">
        <f t="shared" si="3"/>
        <v>sila</v>
      </c>
      <c r="I63" s="19" t="s">
        <v>2915</v>
      </c>
      <c r="J63" s="2" t="s">
        <v>1716</v>
      </c>
      <c r="K63" s="2" t="s">
        <v>2154</v>
      </c>
      <c r="L63" s="2" t="s">
        <v>2154</v>
      </c>
      <c r="M63" s="2" t="s">
        <v>2155</v>
      </c>
      <c r="N63" s="2" t="s">
        <v>2156</v>
      </c>
      <c r="O63" s="2" t="s">
        <v>2157</v>
      </c>
      <c r="P63" s="2" t="s">
        <v>166</v>
      </c>
    </row>
    <row r="64" spans="1:16" ht="15.75" customHeight="1" x14ac:dyDescent="0.15">
      <c r="A64" s="2" t="s">
        <v>2002</v>
      </c>
      <c r="B64" s="19" t="s">
        <v>2853</v>
      </c>
      <c r="C64" s="2" t="str">
        <f t="shared" ref="C64:D64" si="64">M64</f>
        <v>full</v>
      </c>
      <c r="D64" s="2" t="str">
        <f t="shared" si="64"/>
        <v>pronoun</v>
      </c>
      <c r="E64" s="2"/>
      <c r="F64" s="2" t="str">
        <f t="shared" si="1"/>
        <v>What is the root word of the word \"kaniya-kaniya\"?</v>
      </c>
      <c r="G64" s="2" t="str">
        <f t="shared" si="2"/>
        <v>Ano ang salitang-ugat ng salitang \"kaniya-kaniya\"?</v>
      </c>
      <c r="H64" s="2" t="str">
        <f t="shared" si="3"/>
        <v>kaniya</v>
      </c>
      <c r="I64" s="19" t="s">
        <v>2916</v>
      </c>
      <c r="J64" s="2" t="s">
        <v>1717</v>
      </c>
      <c r="K64" s="2" t="s">
        <v>2158</v>
      </c>
      <c r="L64" s="2" t="s">
        <v>2158</v>
      </c>
      <c r="M64" s="2" t="s">
        <v>2155</v>
      </c>
      <c r="N64" s="2" t="s">
        <v>2156</v>
      </c>
      <c r="O64" s="2" t="s">
        <v>2157</v>
      </c>
      <c r="P64" s="2" t="s">
        <v>166</v>
      </c>
    </row>
    <row r="65" spans="1:16" ht="15.75" customHeight="1" x14ac:dyDescent="0.15">
      <c r="A65" s="2" t="s">
        <v>2002</v>
      </c>
      <c r="B65" s="19" t="s">
        <v>2853</v>
      </c>
      <c r="C65" s="2" t="str">
        <f t="shared" ref="C65:D65" si="65">M65</f>
        <v>full</v>
      </c>
      <c r="D65" s="2" t="str">
        <f t="shared" si="65"/>
        <v>pronoun</v>
      </c>
      <c r="E65" s="2"/>
      <c r="F65" s="2" t="str">
        <f t="shared" si="1"/>
        <v>What is the root word of the word \"tayo-tayo\"?</v>
      </c>
      <c r="G65" s="2" t="str">
        <f t="shared" si="2"/>
        <v>Ano ang salitang-ugat ng salitang \"tayo-tayo\"?</v>
      </c>
      <c r="H65" s="2" t="str">
        <f t="shared" si="3"/>
        <v>tayo</v>
      </c>
      <c r="I65" s="19" t="s">
        <v>2917</v>
      </c>
      <c r="J65" s="2" t="s">
        <v>2159</v>
      </c>
      <c r="K65" s="2" t="s">
        <v>397</v>
      </c>
      <c r="L65" s="2" t="s">
        <v>397</v>
      </c>
      <c r="M65" s="2" t="s">
        <v>2155</v>
      </c>
      <c r="N65" s="2" t="s">
        <v>2156</v>
      </c>
      <c r="O65" s="2" t="s">
        <v>2157</v>
      </c>
      <c r="P65" s="2" t="s">
        <v>166</v>
      </c>
    </row>
    <row r="66" spans="1:16" ht="15.75" customHeight="1" x14ac:dyDescent="0.15">
      <c r="A66" s="2" t="s">
        <v>2002</v>
      </c>
      <c r="B66" s="19" t="s">
        <v>2853</v>
      </c>
      <c r="C66" s="2" t="str">
        <f t="shared" ref="C66:D66" si="66">M66</f>
        <v>full</v>
      </c>
      <c r="D66" s="2" t="str">
        <f t="shared" si="66"/>
        <v>pronoun</v>
      </c>
      <c r="E66" s="2"/>
      <c r="F66" s="2" t="str">
        <f t="shared" si="1"/>
        <v>What is the root word of the word \"kami-kami\"?</v>
      </c>
      <c r="G66" s="2" t="str">
        <f t="shared" si="2"/>
        <v>Ano ang salitang-ugat ng salitang \"kami-kami\"?</v>
      </c>
      <c r="H66" s="2" t="str">
        <f t="shared" si="3"/>
        <v>kami</v>
      </c>
      <c r="I66" s="19" t="s">
        <v>2918</v>
      </c>
      <c r="J66" s="2" t="s">
        <v>2160</v>
      </c>
      <c r="K66" s="2" t="s">
        <v>2161</v>
      </c>
      <c r="L66" s="2" t="s">
        <v>2161</v>
      </c>
      <c r="M66" s="2" t="s">
        <v>2155</v>
      </c>
      <c r="N66" s="2" t="s">
        <v>2156</v>
      </c>
      <c r="O66" s="2" t="s">
        <v>2157</v>
      </c>
      <c r="P66" s="2" t="s">
        <v>166</v>
      </c>
    </row>
    <row r="67" spans="1:16" ht="15.75" customHeight="1" x14ac:dyDescent="0.15">
      <c r="A67" s="2" t="s">
        <v>2002</v>
      </c>
      <c r="B67" s="19" t="s">
        <v>2853</v>
      </c>
      <c r="C67" s="2" t="str">
        <f t="shared" ref="C67:D67" si="67">M67</f>
        <v>full</v>
      </c>
      <c r="D67" s="2" t="str">
        <f t="shared" si="67"/>
        <v>pronoun</v>
      </c>
      <c r="E67" s="2"/>
      <c r="F67" s="2" t="str">
        <f t="shared" si="1"/>
        <v>What is the root word of the word \"kayo-kayo\"?</v>
      </c>
      <c r="G67" s="2" t="str">
        <f t="shared" si="2"/>
        <v>Ano ang salitang-ugat ng salitang \"kayo-kayo\"?</v>
      </c>
      <c r="H67" s="2" t="str">
        <f t="shared" si="3"/>
        <v>kayo</v>
      </c>
      <c r="I67" s="19" t="s">
        <v>2919</v>
      </c>
      <c r="J67" s="2" t="s">
        <v>2162</v>
      </c>
      <c r="K67" s="2" t="s">
        <v>2163</v>
      </c>
      <c r="L67" s="2" t="s">
        <v>2163</v>
      </c>
      <c r="M67" s="2" t="s">
        <v>2155</v>
      </c>
      <c r="N67" s="2" t="s">
        <v>2156</v>
      </c>
      <c r="O67" s="2" t="s">
        <v>2157</v>
      </c>
      <c r="P67" s="2" t="s">
        <v>166</v>
      </c>
    </row>
    <row r="68" spans="1:16" ht="13" x14ac:dyDescent="0.15">
      <c r="A68" s="2" t="s">
        <v>2002</v>
      </c>
      <c r="B68" s="19" t="s">
        <v>2853</v>
      </c>
      <c r="C68" s="2" t="str">
        <f t="shared" ref="C68:D68" si="68">M68</f>
        <v>full</v>
      </c>
      <c r="D68" s="2" t="str">
        <f t="shared" si="68"/>
        <v>interrogatives</v>
      </c>
      <c r="E68" s="2"/>
      <c r="F68" s="2" t="str">
        <f t="shared" si="1"/>
        <v>What is the root word of the word \"ano-ano\"?</v>
      </c>
      <c r="G68" s="2" t="str">
        <f t="shared" si="2"/>
        <v>Ano ang salitang-ugat ng salitang \"ano-ano\"?</v>
      </c>
      <c r="H68" s="2" t="str">
        <f t="shared" si="3"/>
        <v>ano</v>
      </c>
      <c r="I68" s="19" t="s">
        <v>2920</v>
      </c>
      <c r="J68" s="2" t="s">
        <v>2164</v>
      </c>
      <c r="K68" s="2" t="s">
        <v>2165</v>
      </c>
      <c r="L68" s="2" t="s">
        <v>2165</v>
      </c>
      <c r="M68" s="2" t="s">
        <v>2155</v>
      </c>
      <c r="N68" s="2" t="s">
        <v>2166</v>
      </c>
      <c r="O68" s="2" t="s">
        <v>2167</v>
      </c>
      <c r="P68" s="2" t="s">
        <v>166</v>
      </c>
    </row>
    <row r="69" spans="1:16" ht="13" x14ac:dyDescent="0.15">
      <c r="A69" s="2" t="s">
        <v>2002</v>
      </c>
      <c r="B69" s="19" t="s">
        <v>2853</v>
      </c>
      <c r="C69" s="2" t="str">
        <f t="shared" ref="C69:D69" si="69">M69</f>
        <v>full</v>
      </c>
      <c r="D69" s="2" t="str">
        <f t="shared" si="69"/>
        <v>interrogatives</v>
      </c>
      <c r="E69" s="2"/>
      <c r="F69" s="2" t="str">
        <f t="shared" si="1"/>
        <v>What is the root word of the word \"sino-sino\"?</v>
      </c>
      <c r="G69" s="2" t="str">
        <f t="shared" si="2"/>
        <v>Ano ang salitang-ugat ng salitang \"sino-sino\"?</v>
      </c>
      <c r="H69" s="2" t="str">
        <f t="shared" si="3"/>
        <v>sino</v>
      </c>
      <c r="I69" s="19" t="s">
        <v>2921</v>
      </c>
      <c r="J69" s="2" t="s">
        <v>2168</v>
      </c>
      <c r="K69" s="2" t="s">
        <v>2169</v>
      </c>
      <c r="L69" s="2" t="s">
        <v>2169</v>
      </c>
      <c r="M69" s="2" t="s">
        <v>2155</v>
      </c>
      <c r="N69" s="2" t="s">
        <v>2166</v>
      </c>
      <c r="O69" s="2" t="s">
        <v>2167</v>
      </c>
      <c r="P69" s="2" t="s">
        <v>166</v>
      </c>
    </row>
    <row r="70" spans="1:16" ht="13" x14ac:dyDescent="0.15">
      <c r="A70" s="2" t="s">
        <v>2002</v>
      </c>
      <c r="B70" s="19" t="s">
        <v>2853</v>
      </c>
      <c r="C70" s="2" t="str">
        <f t="shared" ref="C70:D70" si="70">M70</f>
        <v>full</v>
      </c>
      <c r="D70" s="2" t="str">
        <f t="shared" si="70"/>
        <v>interrogatives</v>
      </c>
      <c r="E70" s="2"/>
      <c r="F70" s="2" t="str">
        <f t="shared" si="1"/>
        <v>What is the root word of the word \"saan-saan\"?</v>
      </c>
      <c r="G70" s="2" t="str">
        <f t="shared" si="2"/>
        <v>Ano ang salitang-ugat ng salitang \"saan-saan\"?</v>
      </c>
      <c r="H70" s="2" t="str">
        <f t="shared" si="3"/>
        <v>saan</v>
      </c>
      <c r="I70" s="19" t="s">
        <v>2922</v>
      </c>
      <c r="J70" s="2" t="s">
        <v>2170</v>
      </c>
      <c r="K70" s="2" t="s">
        <v>2171</v>
      </c>
      <c r="L70" s="2" t="s">
        <v>2171</v>
      </c>
      <c r="M70" s="2" t="s">
        <v>2155</v>
      </c>
      <c r="N70" s="2" t="s">
        <v>2166</v>
      </c>
      <c r="O70" s="2" t="s">
        <v>2167</v>
      </c>
      <c r="P70" s="2" t="s">
        <v>166</v>
      </c>
    </row>
    <row r="71" spans="1:16" ht="13" x14ac:dyDescent="0.15">
      <c r="A71" s="2" t="s">
        <v>2002</v>
      </c>
      <c r="B71" s="19" t="s">
        <v>2853</v>
      </c>
      <c r="C71" s="2" t="str">
        <f t="shared" ref="C71:D71" si="71">M71</f>
        <v>full</v>
      </c>
      <c r="D71" s="2" t="str">
        <f t="shared" si="71"/>
        <v>interrogatives</v>
      </c>
      <c r="E71" s="2"/>
      <c r="F71" s="2" t="str">
        <f t="shared" si="1"/>
        <v>What is the root word of the word \"alin-alin\"?</v>
      </c>
      <c r="G71" s="2" t="str">
        <f t="shared" si="2"/>
        <v>Ano ang salitang-ugat ng salitang \"alin-alin\"?</v>
      </c>
      <c r="H71" s="2" t="str">
        <f t="shared" si="3"/>
        <v>alin</v>
      </c>
      <c r="I71" s="19" t="s">
        <v>2923</v>
      </c>
      <c r="J71" s="2" t="s">
        <v>2172</v>
      </c>
      <c r="K71" s="2" t="s">
        <v>2173</v>
      </c>
      <c r="L71" s="2" t="s">
        <v>2173</v>
      </c>
      <c r="M71" s="2" t="s">
        <v>2155</v>
      </c>
      <c r="N71" s="2" t="s">
        <v>2166</v>
      </c>
      <c r="O71" s="2" t="s">
        <v>2167</v>
      </c>
      <c r="P71" s="2" t="s">
        <v>166</v>
      </c>
    </row>
    <row r="72" spans="1:16" ht="13" x14ac:dyDescent="0.15">
      <c r="A72" s="2" t="s">
        <v>2002</v>
      </c>
      <c r="B72" s="19" t="s">
        <v>2853</v>
      </c>
      <c r="C72" s="2" t="str">
        <f t="shared" ref="C72:D72" si="72">M72</f>
        <v>full</v>
      </c>
      <c r="D72" s="2" t="str">
        <f t="shared" si="72"/>
        <v>adjective_mind</v>
      </c>
      <c r="E72" s="2"/>
      <c r="F72" s="2" t="str">
        <f t="shared" si="1"/>
        <v>What is the root word of the word \"kaibig-ibig\"?</v>
      </c>
      <c r="G72" s="2" t="str">
        <f t="shared" si="2"/>
        <v>Ano ang salitang-ugat ng salitang \"kaibig-ibig\"?</v>
      </c>
      <c r="H72" s="2" t="str">
        <f t="shared" si="3"/>
        <v>ibig</v>
      </c>
      <c r="I72" s="19" t="s">
        <v>2924</v>
      </c>
      <c r="J72" s="2" t="s">
        <v>2174</v>
      </c>
      <c r="K72" s="2" t="s">
        <v>2175</v>
      </c>
      <c r="L72" s="2" t="s">
        <v>2175</v>
      </c>
      <c r="M72" s="2" t="s">
        <v>2155</v>
      </c>
      <c r="N72" s="2" t="s">
        <v>2176</v>
      </c>
      <c r="O72" s="2" t="s">
        <v>2177</v>
      </c>
    </row>
    <row r="73" spans="1:16" ht="13" x14ac:dyDescent="0.15">
      <c r="A73" s="2" t="s">
        <v>2002</v>
      </c>
      <c r="B73" s="19" t="s">
        <v>2853</v>
      </c>
      <c r="C73" s="2" t="str">
        <f t="shared" ref="C73:D73" si="73">M73</f>
        <v>full</v>
      </c>
      <c r="D73" s="2" t="str">
        <f t="shared" si="73"/>
        <v>adjective_mind</v>
      </c>
      <c r="E73" s="2"/>
      <c r="F73" s="2" t="str">
        <f t="shared" si="1"/>
        <v>What is the root word of the word \"kasuklam-suklam\"?</v>
      </c>
      <c r="G73" s="2" t="str">
        <f t="shared" si="2"/>
        <v>Ano ang salitang-ugat ng salitang \"kasuklam-suklam\"?</v>
      </c>
      <c r="H73" s="2" t="str">
        <f t="shared" si="3"/>
        <v>suklam</v>
      </c>
      <c r="I73" s="19" t="s">
        <v>2925</v>
      </c>
      <c r="J73" s="2" t="s">
        <v>2178</v>
      </c>
      <c r="K73" s="2" t="s">
        <v>2179</v>
      </c>
      <c r="L73" s="2" t="s">
        <v>2179</v>
      </c>
      <c r="M73" s="2" t="s">
        <v>2155</v>
      </c>
      <c r="N73" s="2" t="s">
        <v>2176</v>
      </c>
      <c r="O73" s="2" t="s">
        <v>2177</v>
      </c>
    </row>
    <row r="74" spans="1:16" ht="13" x14ac:dyDescent="0.15">
      <c r="A74" s="2" t="s">
        <v>2002</v>
      </c>
      <c r="B74" s="19" t="s">
        <v>2853</v>
      </c>
      <c r="C74" s="2" t="str">
        <f t="shared" ref="C74:D74" si="74">M74</f>
        <v>full</v>
      </c>
      <c r="D74" s="2" t="str">
        <f t="shared" si="74"/>
        <v>adjective_mind</v>
      </c>
      <c r="E74" s="2"/>
      <c r="F74" s="2" t="str">
        <f t="shared" si="1"/>
        <v>What is the root word of the word \"kasiya-siya\"?</v>
      </c>
      <c r="G74" s="2" t="str">
        <f t="shared" si="2"/>
        <v>Ano ang salitang-ugat ng salitang \"kasiya-siya\"?</v>
      </c>
      <c r="H74" s="2" t="str">
        <f t="shared" si="3"/>
        <v>siya</v>
      </c>
      <c r="I74" s="19" t="s">
        <v>2926</v>
      </c>
      <c r="J74" s="2" t="s">
        <v>2180</v>
      </c>
      <c r="K74" s="2" t="s">
        <v>2181</v>
      </c>
      <c r="L74" s="2" t="s">
        <v>2181</v>
      </c>
      <c r="M74" s="2" t="s">
        <v>2155</v>
      </c>
      <c r="N74" s="2" t="s">
        <v>2176</v>
      </c>
      <c r="O74" s="2" t="s">
        <v>2177</v>
      </c>
    </row>
    <row r="75" spans="1:16" ht="13" x14ac:dyDescent="0.15">
      <c r="A75" s="2" t="s">
        <v>2002</v>
      </c>
      <c r="B75" s="19" t="s">
        <v>2853</v>
      </c>
      <c r="C75" s="2" t="str">
        <f t="shared" ref="C75:D75" si="75">M75</f>
        <v>full</v>
      </c>
      <c r="D75" s="2" t="str">
        <f t="shared" si="75"/>
        <v>adjective_mind</v>
      </c>
      <c r="E75" s="2"/>
      <c r="F75" s="2" t="str">
        <f t="shared" si="1"/>
        <v>What is the root word of the word \"kagulat-gulat\"?</v>
      </c>
      <c r="G75" s="2" t="str">
        <f t="shared" si="2"/>
        <v>Ano ang salitang-ugat ng salitang \"kagulat-gulat\"?</v>
      </c>
      <c r="H75" s="2" t="str">
        <f t="shared" si="3"/>
        <v>gulat</v>
      </c>
      <c r="I75" s="19" t="s">
        <v>2927</v>
      </c>
      <c r="J75" s="2" t="s">
        <v>2182</v>
      </c>
      <c r="K75" s="2" t="s">
        <v>2183</v>
      </c>
      <c r="L75" s="2" t="s">
        <v>2183</v>
      </c>
      <c r="M75" s="2" t="s">
        <v>2155</v>
      </c>
      <c r="N75" s="2" t="s">
        <v>2176</v>
      </c>
      <c r="O75" s="2" t="s">
        <v>2177</v>
      </c>
    </row>
    <row r="76" spans="1:16" ht="13" x14ac:dyDescent="0.15">
      <c r="A76" s="2" t="s">
        <v>2002</v>
      </c>
      <c r="B76" s="19" t="s">
        <v>2853</v>
      </c>
      <c r="C76" s="2" t="str">
        <f t="shared" ref="C76:D76" si="76">M76</f>
        <v>full</v>
      </c>
      <c r="D76" s="2" t="str">
        <f t="shared" si="76"/>
        <v>adjective_mind</v>
      </c>
      <c r="E76" s="2"/>
      <c r="F76" s="2" t="str">
        <f t="shared" si="1"/>
        <v>What is the root word of the word \"kahiya-hiya\"?</v>
      </c>
      <c r="G76" s="2" t="str">
        <f t="shared" si="2"/>
        <v>Ano ang salitang-ugat ng salitang \"kahiya-hiya\"?</v>
      </c>
      <c r="H76" s="2" t="str">
        <f t="shared" si="3"/>
        <v>hiya</v>
      </c>
      <c r="I76" s="19" t="s">
        <v>2928</v>
      </c>
      <c r="J76" s="2" t="s">
        <v>2184</v>
      </c>
      <c r="K76" s="2" t="s">
        <v>2185</v>
      </c>
      <c r="L76" s="2" t="s">
        <v>2185</v>
      </c>
      <c r="M76" s="2" t="s">
        <v>2155</v>
      </c>
      <c r="N76" s="2" t="s">
        <v>2176</v>
      </c>
      <c r="O76" s="2" t="s">
        <v>2177</v>
      </c>
    </row>
    <row r="77" spans="1:16" ht="13" x14ac:dyDescent="0.15">
      <c r="A77" s="2" t="s">
        <v>2002</v>
      </c>
      <c r="B77" s="19" t="s">
        <v>2853</v>
      </c>
      <c r="C77" s="2" t="str">
        <f t="shared" ref="C77:D77" si="77">M77</f>
        <v>full</v>
      </c>
      <c r="D77" s="2" t="str">
        <f t="shared" si="77"/>
        <v>verb_intense</v>
      </c>
      <c r="E77" s="2"/>
      <c r="F77" s="2" t="str">
        <f t="shared" si="1"/>
        <v>What is the root word of the word \"magkandasira-sira\"?</v>
      </c>
      <c r="G77" s="2" t="str">
        <f t="shared" si="2"/>
        <v>Ano ang salitang-ugat ng salitang \"magkandasira-sira\"?</v>
      </c>
      <c r="H77" s="2" t="str">
        <f t="shared" si="3"/>
        <v>sira</v>
      </c>
      <c r="I77" s="19" t="s">
        <v>2929</v>
      </c>
      <c r="J77" s="2" t="s">
        <v>2186</v>
      </c>
      <c r="K77" s="2" t="s">
        <v>2187</v>
      </c>
      <c r="L77" s="2" t="s">
        <v>2187</v>
      </c>
      <c r="M77" s="2" t="s">
        <v>2155</v>
      </c>
      <c r="N77" s="2" t="s">
        <v>2188</v>
      </c>
      <c r="O77" s="2" t="s">
        <v>2189</v>
      </c>
    </row>
    <row r="78" spans="1:16" ht="13" x14ac:dyDescent="0.15">
      <c r="A78" s="2" t="s">
        <v>2002</v>
      </c>
      <c r="B78" s="19" t="s">
        <v>2853</v>
      </c>
      <c r="C78" s="2" t="str">
        <f t="shared" ref="C78:D78" si="78">M78</f>
        <v>full</v>
      </c>
      <c r="D78" s="2" t="str">
        <f t="shared" si="78"/>
        <v>verb_intense</v>
      </c>
      <c r="E78" s="2"/>
      <c r="F78" s="2" t="str">
        <f t="shared" si="1"/>
        <v>What is the root word of the word \"magkandahilo-hilo\"?</v>
      </c>
      <c r="G78" s="2" t="str">
        <f t="shared" si="2"/>
        <v>Ano ang salitang-ugat ng salitang \"magkandahilo-hilo\"?</v>
      </c>
      <c r="H78" s="2" t="str">
        <f t="shared" si="3"/>
        <v>hilo</v>
      </c>
      <c r="I78" s="19" t="s">
        <v>2930</v>
      </c>
      <c r="J78" s="2" t="s">
        <v>2190</v>
      </c>
      <c r="K78" s="2" t="s">
        <v>2191</v>
      </c>
      <c r="L78" s="2" t="s">
        <v>2191</v>
      </c>
      <c r="M78" s="2" t="s">
        <v>2155</v>
      </c>
      <c r="N78" s="2" t="s">
        <v>2188</v>
      </c>
      <c r="O78" s="2" t="s">
        <v>2189</v>
      </c>
    </row>
    <row r="79" spans="1:16" ht="13" x14ac:dyDescent="0.15">
      <c r="A79" s="2" t="s">
        <v>2002</v>
      </c>
      <c r="B79" s="19" t="s">
        <v>2853</v>
      </c>
      <c r="C79" s="2" t="str">
        <f t="shared" ref="C79:D79" si="79">M79</f>
        <v>full</v>
      </c>
      <c r="D79" s="2" t="str">
        <f t="shared" si="79"/>
        <v>verb_intense</v>
      </c>
      <c r="E79" s="2"/>
      <c r="F79" s="2" t="str">
        <f t="shared" si="1"/>
        <v>What is the root word of the word \"magkaaway-away\"?</v>
      </c>
      <c r="G79" s="2" t="str">
        <f t="shared" si="2"/>
        <v>Ano ang salitang-ugat ng salitang \"magkaaway-away\"?</v>
      </c>
      <c r="H79" s="2" t="str">
        <f t="shared" si="3"/>
        <v>away</v>
      </c>
      <c r="I79" s="19" t="s">
        <v>2931</v>
      </c>
      <c r="J79" s="2" t="s">
        <v>2192</v>
      </c>
      <c r="K79" s="2" t="s">
        <v>2193</v>
      </c>
      <c r="L79" s="2" t="s">
        <v>2193</v>
      </c>
      <c r="M79" s="2" t="s">
        <v>2155</v>
      </c>
      <c r="N79" s="2" t="s">
        <v>2188</v>
      </c>
      <c r="O79" s="2" t="s">
        <v>2189</v>
      </c>
    </row>
    <row r="80" spans="1:16" ht="13" x14ac:dyDescent="0.15">
      <c r="A80" s="2" t="s">
        <v>2002</v>
      </c>
      <c r="B80" s="19" t="s">
        <v>2853</v>
      </c>
      <c r="C80" s="2" t="str">
        <f t="shared" ref="C80:D80" si="80">M80</f>
        <v>full</v>
      </c>
      <c r="D80" s="2" t="str">
        <f t="shared" si="80"/>
        <v>verb_intense</v>
      </c>
      <c r="E80" s="2"/>
      <c r="F80" s="2" t="str">
        <f t="shared" si="1"/>
        <v>What is the root word of the word \"nagkawatak-watak\"?</v>
      </c>
      <c r="G80" s="2" t="str">
        <f t="shared" si="2"/>
        <v>Ano ang salitang-ugat ng salitang \"nagkawatak-watak\"?</v>
      </c>
      <c r="H80" s="2" t="str">
        <f t="shared" si="3"/>
        <v>watak</v>
      </c>
      <c r="I80" s="19" t="s">
        <v>2932</v>
      </c>
      <c r="J80" s="2" t="s">
        <v>2194</v>
      </c>
      <c r="K80" s="2" t="s">
        <v>2195</v>
      </c>
      <c r="L80" s="2" t="s">
        <v>2195</v>
      </c>
      <c r="M80" s="2" t="s">
        <v>2155</v>
      </c>
      <c r="N80" s="2" t="s">
        <v>2188</v>
      </c>
      <c r="O80" s="2" t="s">
        <v>2189</v>
      </c>
    </row>
    <row r="81" spans="1:16" ht="13" x14ac:dyDescent="0.15">
      <c r="A81" s="2" t="s">
        <v>2002</v>
      </c>
      <c r="B81" s="19" t="s">
        <v>2853</v>
      </c>
      <c r="C81" s="2" t="str">
        <f t="shared" ref="C81:D81" si="81">M81</f>
        <v>full</v>
      </c>
      <c r="D81" s="2" t="str">
        <f t="shared" si="81"/>
        <v>verb_intense</v>
      </c>
      <c r="E81" s="2"/>
      <c r="F81" s="2" t="str">
        <f t="shared" si="1"/>
        <v>What is the root word of the word \"mapilas-pilas\"?</v>
      </c>
      <c r="G81" s="2" t="str">
        <f t="shared" si="2"/>
        <v>Ano ang salitang-ugat ng salitang \"mapilas-pilas\"?</v>
      </c>
      <c r="H81" s="2" t="str">
        <f t="shared" si="3"/>
        <v>pilas</v>
      </c>
      <c r="I81" s="19" t="s">
        <v>2933</v>
      </c>
      <c r="J81" s="2" t="s">
        <v>2196</v>
      </c>
      <c r="K81" s="2" t="s">
        <v>2197</v>
      </c>
      <c r="L81" s="2" t="s">
        <v>2197</v>
      </c>
      <c r="M81" s="2" t="s">
        <v>2155</v>
      </c>
      <c r="N81" s="2" t="s">
        <v>2188</v>
      </c>
      <c r="O81" s="2" t="s">
        <v>2189</v>
      </c>
    </row>
    <row r="82" spans="1:16" ht="13" x14ac:dyDescent="0.15">
      <c r="A82" s="2" t="s">
        <v>2002</v>
      </c>
      <c r="B82" s="19" t="s">
        <v>2853</v>
      </c>
      <c r="C82" s="2" t="str">
        <f t="shared" ref="C82:D82" si="82">M82</f>
        <v>full</v>
      </c>
      <c r="D82" s="2" t="str">
        <f t="shared" si="82"/>
        <v>noun_every</v>
      </c>
      <c r="E82" s="2"/>
      <c r="F82" s="2" t="str">
        <f t="shared" si="1"/>
        <v>What is the root word of the word \"araw-araw\"?</v>
      </c>
      <c r="G82" s="2" t="str">
        <f t="shared" si="2"/>
        <v>Ano ang salitang-ugat ng salitang \"araw-araw\"?</v>
      </c>
      <c r="H82" s="2" t="str">
        <f t="shared" si="3"/>
        <v>araw</v>
      </c>
      <c r="I82" s="19" t="s">
        <v>2934</v>
      </c>
      <c r="J82" s="2" t="s">
        <v>2198</v>
      </c>
      <c r="K82" s="2" t="s">
        <v>2199</v>
      </c>
      <c r="L82" s="2" t="s">
        <v>2199</v>
      </c>
      <c r="M82" s="2" t="s">
        <v>2155</v>
      </c>
      <c r="N82" s="2" t="s">
        <v>2200</v>
      </c>
      <c r="O82" s="2" t="s">
        <v>2201</v>
      </c>
      <c r="P82" s="2" t="s">
        <v>166</v>
      </c>
    </row>
    <row r="83" spans="1:16" ht="13" x14ac:dyDescent="0.15">
      <c r="A83" s="2" t="s">
        <v>2002</v>
      </c>
      <c r="B83" s="19" t="s">
        <v>2853</v>
      </c>
      <c r="C83" s="2" t="str">
        <f t="shared" ref="C83:D83" si="83">M83</f>
        <v>full</v>
      </c>
      <c r="D83" s="2" t="str">
        <f t="shared" si="83"/>
        <v>noun_every</v>
      </c>
      <c r="E83" s="2"/>
      <c r="F83" s="2" t="str">
        <f t="shared" si="1"/>
        <v>What is the root word of the word \"gabi-gabi\"?</v>
      </c>
      <c r="G83" s="2" t="str">
        <f t="shared" si="2"/>
        <v>Ano ang salitang-ugat ng salitang \"gabi-gabi\"?</v>
      </c>
      <c r="H83" s="2" t="str">
        <f t="shared" si="3"/>
        <v>gabi</v>
      </c>
      <c r="I83" s="19" t="s">
        <v>2935</v>
      </c>
      <c r="J83" s="2" t="s">
        <v>1698</v>
      </c>
      <c r="K83" s="2" t="s">
        <v>2202</v>
      </c>
      <c r="L83" s="2" t="s">
        <v>2202</v>
      </c>
      <c r="M83" s="2" t="s">
        <v>2155</v>
      </c>
      <c r="N83" s="2" t="s">
        <v>2200</v>
      </c>
      <c r="O83" s="2" t="s">
        <v>2201</v>
      </c>
      <c r="P83" s="2" t="s">
        <v>166</v>
      </c>
    </row>
    <row r="84" spans="1:16" ht="13" x14ac:dyDescent="0.15">
      <c r="A84" s="2" t="s">
        <v>2002</v>
      </c>
      <c r="B84" s="19" t="s">
        <v>2853</v>
      </c>
      <c r="C84" s="2" t="str">
        <f t="shared" ref="C84:D84" si="84">M84</f>
        <v>full</v>
      </c>
      <c r="D84" s="2" t="str">
        <f t="shared" si="84"/>
        <v>noun_every</v>
      </c>
      <c r="E84" s="2"/>
      <c r="F84" s="2" t="str">
        <f t="shared" si="1"/>
        <v>What is the root word of the word \"oras-oras\"?</v>
      </c>
      <c r="G84" s="2" t="str">
        <f t="shared" si="2"/>
        <v>Ano ang salitang-ugat ng salitang \"oras-oras\"?</v>
      </c>
      <c r="H84" s="2" t="str">
        <f t="shared" si="3"/>
        <v>oras</v>
      </c>
      <c r="I84" s="19" t="s">
        <v>2936</v>
      </c>
      <c r="J84" s="2" t="s">
        <v>2203</v>
      </c>
      <c r="K84" s="2" t="s">
        <v>2204</v>
      </c>
      <c r="L84" s="2" t="s">
        <v>2204</v>
      </c>
      <c r="M84" s="2" t="s">
        <v>2155</v>
      </c>
      <c r="N84" s="2" t="s">
        <v>2200</v>
      </c>
      <c r="O84" s="2" t="s">
        <v>2201</v>
      </c>
      <c r="P84" s="2" t="s">
        <v>166</v>
      </c>
    </row>
    <row r="85" spans="1:16" ht="13" x14ac:dyDescent="0.15">
      <c r="A85" s="2" t="s">
        <v>2002</v>
      </c>
      <c r="B85" s="19" t="s">
        <v>2853</v>
      </c>
      <c r="C85" s="2" t="str">
        <f t="shared" ref="C85:D85" si="85">M85</f>
        <v>full</v>
      </c>
      <c r="D85" s="2" t="str">
        <f t="shared" si="85"/>
        <v>noun_every</v>
      </c>
      <c r="E85" s="2"/>
      <c r="F85" s="2" t="str">
        <f t="shared" si="1"/>
        <v>What is the root word of the word \"linggo-linggo\"?</v>
      </c>
      <c r="G85" s="2" t="str">
        <f t="shared" si="2"/>
        <v>Ano ang salitang-ugat ng salitang \"linggo-linggo\"?</v>
      </c>
      <c r="H85" s="2" t="str">
        <f t="shared" si="3"/>
        <v>linggo</v>
      </c>
      <c r="I85" s="19" t="s">
        <v>2937</v>
      </c>
      <c r="J85" s="2" t="s">
        <v>2205</v>
      </c>
      <c r="K85" s="2" t="s">
        <v>2206</v>
      </c>
      <c r="L85" s="2" t="s">
        <v>2206</v>
      </c>
      <c r="M85" s="2" t="s">
        <v>2155</v>
      </c>
      <c r="N85" s="2" t="s">
        <v>2200</v>
      </c>
      <c r="O85" s="2" t="s">
        <v>2201</v>
      </c>
      <c r="P85" s="2" t="s">
        <v>166</v>
      </c>
    </row>
    <row r="86" spans="1:16" ht="13" x14ac:dyDescent="0.15">
      <c r="A86" s="2" t="s">
        <v>2002</v>
      </c>
      <c r="B86" s="19" t="s">
        <v>2853</v>
      </c>
      <c r="C86" s="2" t="str">
        <f t="shared" ref="C86:D86" si="86">M86</f>
        <v>full</v>
      </c>
      <c r="D86" s="2" t="str">
        <f t="shared" si="86"/>
        <v>noun_every</v>
      </c>
      <c r="E86" s="2"/>
      <c r="F86" s="2" t="str">
        <f t="shared" si="1"/>
        <v>What is the root word of the word \"buwan-buwan\"?</v>
      </c>
      <c r="G86" s="2" t="str">
        <f t="shared" si="2"/>
        <v>Ano ang salitang-ugat ng salitang \"buwan-buwan\"?</v>
      </c>
      <c r="H86" s="2" t="str">
        <f t="shared" si="3"/>
        <v>buwan</v>
      </c>
      <c r="I86" s="19" t="s">
        <v>2938</v>
      </c>
      <c r="J86" s="2" t="s">
        <v>2207</v>
      </c>
      <c r="K86" s="2" t="s">
        <v>2208</v>
      </c>
      <c r="L86" s="2" t="s">
        <v>2208</v>
      </c>
      <c r="M86" s="2" t="s">
        <v>2155</v>
      </c>
      <c r="N86" s="2" t="s">
        <v>2200</v>
      </c>
      <c r="O86" s="2" t="s">
        <v>2201</v>
      </c>
      <c r="P86" s="2" t="s">
        <v>166</v>
      </c>
    </row>
    <row r="87" spans="1:16" ht="13" x14ac:dyDescent="0.15">
      <c r="A87" s="2" t="s">
        <v>2002</v>
      </c>
      <c r="B87" s="19" t="s">
        <v>2853</v>
      </c>
      <c r="C87" s="2" t="str">
        <f t="shared" ref="C87:D87" si="87">M87</f>
        <v>full</v>
      </c>
      <c r="D87" s="2" t="str">
        <f t="shared" si="87"/>
        <v>noun_every</v>
      </c>
      <c r="E87" s="2"/>
      <c r="F87" s="2" t="str">
        <f t="shared" si="1"/>
        <v>What is the root word of the word \"taon-taon\"?</v>
      </c>
      <c r="G87" s="2" t="str">
        <f t="shared" si="2"/>
        <v>Ano ang salitang-ugat ng salitang \"taon-taon\"?</v>
      </c>
      <c r="H87" s="2" t="str">
        <f t="shared" si="3"/>
        <v>taon</v>
      </c>
      <c r="I87" s="19" t="s">
        <v>2939</v>
      </c>
      <c r="J87" s="2" t="s">
        <v>2209</v>
      </c>
      <c r="K87" s="2" t="s">
        <v>161</v>
      </c>
      <c r="L87" s="2" t="s">
        <v>161</v>
      </c>
      <c r="M87" s="2" t="s">
        <v>2155</v>
      </c>
      <c r="N87" s="2" t="s">
        <v>2200</v>
      </c>
      <c r="O87" s="2" t="s">
        <v>2201</v>
      </c>
      <c r="P87" s="2" t="s">
        <v>166</v>
      </c>
    </row>
    <row r="88" spans="1:16" ht="13" x14ac:dyDescent="0.15">
      <c r="A88" s="2" t="s">
        <v>2002</v>
      </c>
      <c r="B88" s="19" t="s">
        <v>2853</v>
      </c>
      <c r="C88" s="2" t="str">
        <f t="shared" ref="C88:D88" si="88">M88</f>
        <v>full</v>
      </c>
      <c r="D88" s="2" t="str">
        <f t="shared" si="88"/>
        <v>adverb</v>
      </c>
      <c r="E88" s="2"/>
      <c r="F88" s="2" t="str">
        <f t="shared" si="1"/>
        <v>What is the root word of the word \"unti-unti\"?</v>
      </c>
      <c r="G88" s="2" t="str">
        <f t="shared" si="2"/>
        <v>Ano ang salitang-ugat ng salitang \"unti-unti\"?</v>
      </c>
      <c r="H88" s="2" t="str">
        <f t="shared" si="3"/>
        <v>unti</v>
      </c>
      <c r="I88" s="19" t="s">
        <v>2940</v>
      </c>
      <c r="J88" s="2" t="s">
        <v>2210</v>
      </c>
      <c r="K88" s="2" t="s">
        <v>2211</v>
      </c>
      <c r="L88" s="2" t="s">
        <v>2211</v>
      </c>
      <c r="M88" s="2" t="s">
        <v>2155</v>
      </c>
      <c r="N88" s="2" t="s">
        <v>2212</v>
      </c>
      <c r="O88" s="2" t="s">
        <v>2213</v>
      </c>
      <c r="P88" s="2" t="s">
        <v>166</v>
      </c>
    </row>
    <row r="89" spans="1:16" ht="13" x14ac:dyDescent="0.15">
      <c r="A89" s="2" t="s">
        <v>2002</v>
      </c>
      <c r="B89" s="19" t="s">
        <v>2853</v>
      </c>
      <c r="C89" s="2" t="str">
        <f t="shared" ref="C89:D89" si="89">M89</f>
        <v>full</v>
      </c>
      <c r="D89" s="2" t="str">
        <f t="shared" si="89"/>
        <v>adverb</v>
      </c>
      <c r="E89" s="2"/>
      <c r="F89" s="2" t="str">
        <f t="shared" si="1"/>
        <v>What is the root word of the word \"sabay-sabay\"?</v>
      </c>
      <c r="G89" s="2" t="str">
        <f t="shared" si="2"/>
        <v>Ano ang salitang-ugat ng salitang \"sabay-sabay\"?</v>
      </c>
      <c r="H89" s="2" t="str">
        <f t="shared" si="3"/>
        <v>sabay</v>
      </c>
      <c r="I89" s="19" t="s">
        <v>2941</v>
      </c>
      <c r="J89" s="2" t="s">
        <v>2214</v>
      </c>
      <c r="K89" s="2" t="s">
        <v>2215</v>
      </c>
      <c r="L89" s="2" t="s">
        <v>2215</v>
      </c>
      <c r="M89" s="2" t="s">
        <v>2155</v>
      </c>
      <c r="N89" s="2" t="s">
        <v>2212</v>
      </c>
      <c r="O89" s="2" t="s">
        <v>2213</v>
      </c>
      <c r="P89" s="2" t="s">
        <v>166</v>
      </c>
    </row>
    <row r="90" spans="1:16" ht="13" x14ac:dyDescent="0.15">
      <c r="A90" s="2" t="s">
        <v>2002</v>
      </c>
      <c r="B90" s="19" t="s">
        <v>2853</v>
      </c>
      <c r="C90" s="2" t="str">
        <f t="shared" ref="C90:D90" si="90">M90</f>
        <v>full</v>
      </c>
      <c r="D90" s="2" t="str">
        <f t="shared" si="90"/>
        <v>adverb</v>
      </c>
      <c r="E90" s="2"/>
      <c r="F90" s="2" t="str">
        <f t="shared" si="1"/>
        <v>What is the root word of the word \"dahan-dahan\"?</v>
      </c>
      <c r="G90" s="2" t="str">
        <f t="shared" si="2"/>
        <v>Ano ang salitang-ugat ng salitang \"dahan-dahan\"?</v>
      </c>
      <c r="H90" s="2" t="str">
        <f t="shared" si="3"/>
        <v>dahan</v>
      </c>
      <c r="I90" s="19" t="s">
        <v>2942</v>
      </c>
      <c r="J90" s="2" t="s">
        <v>2216</v>
      </c>
      <c r="K90" s="2" t="s">
        <v>2217</v>
      </c>
      <c r="L90" s="2" t="s">
        <v>2217</v>
      </c>
      <c r="M90" s="2" t="s">
        <v>2155</v>
      </c>
      <c r="N90" s="2" t="s">
        <v>2212</v>
      </c>
      <c r="O90" s="2" t="s">
        <v>2213</v>
      </c>
      <c r="P90" s="2" t="s">
        <v>166</v>
      </c>
    </row>
    <row r="91" spans="1:16" ht="13" x14ac:dyDescent="0.15">
      <c r="A91" s="2" t="s">
        <v>2002</v>
      </c>
      <c r="B91" s="19" t="s">
        <v>2853</v>
      </c>
      <c r="C91" s="2" t="str">
        <f t="shared" ref="C91:D91" si="91">M91</f>
        <v>full</v>
      </c>
      <c r="D91" s="2" t="str">
        <f t="shared" si="91"/>
        <v>adverb</v>
      </c>
      <c r="E91" s="2"/>
      <c r="F91" s="2" t="str">
        <f t="shared" si="1"/>
        <v>What is the root word of the word \"bigla-bigla\"?</v>
      </c>
      <c r="G91" s="2" t="str">
        <f t="shared" si="2"/>
        <v>Ano ang salitang-ugat ng salitang \"bigla-bigla\"?</v>
      </c>
      <c r="H91" s="2" t="str">
        <f t="shared" si="3"/>
        <v>bigla</v>
      </c>
      <c r="I91" s="19" t="s">
        <v>2943</v>
      </c>
      <c r="J91" s="2" t="s">
        <v>2218</v>
      </c>
      <c r="K91" s="2" t="s">
        <v>2219</v>
      </c>
      <c r="L91" s="2" t="s">
        <v>2219</v>
      </c>
      <c r="M91" s="2" t="s">
        <v>2155</v>
      </c>
      <c r="N91" s="2" t="s">
        <v>2212</v>
      </c>
      <c r="O91" s="2" t="s">
        <v>2213</v>
      </c>
      <c r="P91" s="2" t="s">
        <v>166</v>
      </c>
    </row>
    <row r="92" spans="1:16" ht="13" x14ac:dyDescent="0.15">
      <c r="A92" s="2" t="s">
        <v>2002</v>
      </c>
      <c r="B92" s="19" t="s">
        <v>2853</v>
      </c>
      <c r="C92" s="2" t="str">
        <f t="shared" ref="C92:D92" si="92">M92</f>
        <v>full</v>
      </c>
      <c r="D92" s="2" t="str">
        <f t="shared" si="92"/>
        <v>adverb</v>
      </c>
      <c r="E92" s="2"/>
      <c r="F92" s="2" t="str">
        <f t="shared" si="1"/>
        <v>What is the root word of the word \"maya-maya\"?</v>
      </c>
      <c r="G92" s="2" t="str">
        <f t="shared" si="2"/>
        <v>Ano ang salitang-ugat ng salitang \"maya-maya\"?</v>
      </c>
      <c r="H92" s="2" t="str">
        <f t="shared" si="3"/>
        <v>maya</v>
      </c>
      <c r="I92" s="19" t="s">
        <v>2944</v>
      </c>
      <c r="J92" s="2" t="s">
        <v>2220</v>
      </c>
      <c r="K92" s="2" t="s">
        <v>2221</v>
      </c>
      <c r="L92" s="2" t="s">
        <v>2221</v>
      </c>
      <c r="M92" s="2" t="s">
        <v>2155</v>
      </c>
      <c r="N92" s="2" t="s">
        <v>2212</v>
      </c>
      <c r="O92" s="2" t="s">
        <v>2213</v>
      </c>
      <c r="P92" s="2" t="s">
        <v>166</v>
      </c>
    </row>
    <row r="93" spans="1:16" ht="13" x14ac:dyDescent="0.15">
      <c r="A93" s="2" t="s">
        <v>2002</v>
      </c>
      <c r="B93" s="19" t="s">
        <v>2853</v>
      </c>
      <c r="C93" s="2" t="str">
        <f t="shared" ref="C93:D93" si="93">M93</f>
        <v>full</v>
      </c>
      <c r="D93" s="2" t="str">
        <f t="shared" si="93"/>
        <v>noun_diminutive</v>
      </c>
      <c r="E93" s="2"/>
      <c r="F93" s="2" t="str">
        <f t="shared" si="1"/>
        <v>What is the root word of the word \"tao-taohan\"?</v>
      </c>
      <c r="G93" s="2" t="str">
        <f t="shared" si="2"/>
        <v>Ano ang salitang-ugat ng salitang \"tao-taohan\"?</v>
      </c>
      <c r="H93" s="2" t="str">
        <f t="shared" si="3"/>
        <v>tao</v>
      </c>
      <c r="I93" s="19" t="s">
        <v>2945</v>
      </c>
      <c r="J93" s="2" t="s">
        <v>2222</v>
      </c>
      <c r="K93" s="2" t="s">
        <v>2223</v>
      </c>
      <c r="L93" s="2" t="s">
        <v>2223</v>
      </c>
      <c r="M93" s="2" t="s">
        <v>2155</v>
      </c>
      <c r="N93" s="2" t="s">
        <v>2224</v>
      </c>
      <c r="O93" s="2" t="s">
        <v>2225</v>
      </c>
    </row>
    <row r="94" spans="1:16" ht="13" x14ac:dyDescent="0.15">
      <c r="A94" s="2" t="s">
        <v>2002</v>
      </c>
      <c r="B94" s="19" t="s">
        <v>2853</v>
      </c>
      <c r="C94" s="2" t="str">
        <f t="shared" ref="C94:D94" si="94">M94</f>
        <v>full</v>
      </c>
      <c r="D94" s="2" t="str">
        <f t="shared" si="94"/>
        <v>noun_diminutive</v>
      </c>
      <c r="E94" s="2"/>
      <c r="F94" s="2" t="str">
        <f t="shared" si="1"/>
        <v>What is the root word of the word \"ari-arian\"?</v>
      </c>
      <c r="G94" s="2" t="str">
        <f t="shared" si="2"/>
        <v>Ano ang salitang-ugat ng salitang \"ari-arian\"?</v>
      </c>
      <c r="H94" s="2" t="str">
        <f t="shared" si="3"/>
        <v>ari</v>
      </c>
      <c r="I94" s="19" t="s">
        <v>2946</v>
      </c>
      <c r="J94" s="2" t="s">
        <v>789</v>
      </c>
      <c r="K94" s="2" t="s">
        <v>2226</v>
      </c>
      <c r="L94" s="2" t="s">
        <v>2226</v>
      </c>
      <c r="M94" s="2" t="s">
        <v>2155</v>
      </c>
      <c r="N94" s="2" t="s">
        <v>2224</v>
      </c>
      <c r="O94" s="2" t="s">
        <v>2225</v>
      </c>
    </row>
    <row r="95" spans="1:16" ht="13" x14ac:dyDescent="0.15">
      <c r="A95" s="2" t="s">
        <v>2002</v>
      </c>
      <c r="B95" s="19" t="s">
        <v>2853</v>
      </c>
      <c r="C95" s="2" t="str">
        <f t="shared" ref="C95:D95" si="95">M95</f>
        <v>full</v>
      </c>
      <c r="D95" s="2" t="str">
        <f t="shared" si="95"/>
        <v>noun_diminutive</v>
      </c>
      <c r="E95" s="2"/>
      <c r="F95" s="2" t="str">
        <f t="shared" si="1"/>
        <v>What is the root word of the word \"hari-harian\"?</v>
      </c>
      <c r="G95" s="2" t="str">
        <f t="shared" si="2"/>
        <v>Ano ang salitang-ugat ng salitang \"hari-harian\"?</v>
      </c>
      <c r="H95" s="2" t="str">
        <f t="shared" si="3"/>
        <v>hari</v>
      </c>
      <c r="I95" s="19" t="s">
        <v>2947</v>
      </c>
      <c r="J95" s="2" t="s">
        <v>2227</v>
      </c>
      <c r="K95" s="2" t="s">
        <v>2228</v>
      </c>
      <c r="L95" s="2" t="s">
        <v>2228</v>
      </c>
      <c r="M95" s="2" t="s">
        <v>2155</v>
      </c>
      <c r="N95" s="2" t="s">
        <v>2224</v>
      </c>
      <c r="O95" s="2" t="s">
        <v>2225</v>
      </c>
    </row>
    <row r="96" spans="1:16" ht="13" x14ac:dyDescent="0.15">
      <c r="A96" s="2" t="s">
        <v>2002</v>
      </c>
      <c r="B96" s="19" t="s">
        <v>2853</v>
      </c>
      <c r="C96" s="2" t="str">
        <f t="shared" ref="C96:D96" si="96">M96</f>
        <v>full</v>
      </c>
      <c r="D96" s="2" t="str">
        <f t="shared" si="96"/>
        <v>noun_diminutive</v>
      </c>
      <c r="E96" s="2"/>
      <c r="F96" s="2" t="str">
        <f t="shared" si="1"/>
        <v>What is the root word of the word \"diyos-diyosan\"?</v>
      </c>
      <c r="G96" s="2" t="str">
        <f t="shared" si="2"/>
        <v>Ano ang salitang-ugat ng salitang \"diyos-diyosan\"?</v>
      </c>
      <c r="H96" s="2" t="str">
        <f t="shared" si="3"/>
        <v>diyos</v>
      </c>
      <c r="I96" s="19" t="s">
        <v>2948</v>
      </c>
      <c r="J96" s="2" t="s">
        <v>2229</v>
      </c>
      <c r="K96" s="2" t="s">
        <v>2230</v>
      </c>
      <c r="L96" s="2" t="s">
        <v>2230</v>
      </c>
      <c r="M96" s="2" t="s">
        <v>2155</v>
      </c>
      <c r="N96" s="2" t="s">
        <v>2224</v>
      </c>
      <c r="O96" s="2" t="s">
        <v>2225</v>
      </c>
    </row>
    <row r="97" spans="1:15" ht="13" x14ac:dyDescent="0.15">
      <c r="A97" s="2" t="s">
        <v>2002</v>
      </c>
      <c r="B97" s="19" t="s">
        <v>2853</v>
      </c>
      <c r="C97" s="2" t="str">
        <f t="shared" ref="C97:D97" si="97">M97</f>
        <v>full</v>
      </c>
      <c r="D97" s="2" t="str">
        <f t="shared" si="97"/>
        <v>noun_diminutive</v>
      </c>
      <c r="E97" s="2"/>
      <c r="F97" s="2" t="str">
        <f t="shared" si="1"/>
        <v>What is the root word of the word \"nanay-nanayan\"?</v>
      </c>
      <c r="G97" s="2" t="str">
        <f t="shared" si="2"/>
        <v>Ano ang salitang-ugat ng salitang \"nanay-nanayan\"?</v>
      </c>
      <c r="H97" s="2" t="str">
        <f t="shared" si="3"/>
        <v>nanay</v>
      </c>
      <c r="I97" s="19" t="s">
        <v>2949</v>
      </c>
      <c r="J97" s="2" t="s">
        <v>2231</v>
      </c>
      <c r="K97" s="2" t="s">
        <v>2232</v>
      </c>
      <c r="L97" s="2" t="s">
        <v>2232</v>
      </c>
      <c r="M97" s="2" t="s">
        <v>2155</v>
      </c>
      <c r="N97" s="2" t="s">
        <v>2224</v>
      </c>
      <c r="O97" s="2" t="s">
        <v>2225</v>
      </c>
    </row>
    <row r="98" spans="1:15" ht="13" x14ac:dyDescent="0.15">
      <c r="A98" s="2" t="s">
        <v>2002</v>
      </c>
      <c r="B98" s="19" t="s">
        <v>2853</v>
      </c>
      <c r="C98" s="2" t="str">
        <f t="shared" ref="C98:D98" si="98">M98</f>
        <v>full</v>
      </c>
      <c r="D98" s="2" t="str">
        <f t="shared" si="98"/>
        <v>noun_diminutive</v>
      </c>
      <c r="E98" s="2"/>
      <c r="F98" s="2" t="str">
        <f t="shared" si="1"/>
        <v>What is the root word of the word \"anak-anakan\"?</v>
      </c>
      <c r="G98" s="2" t="str">
        <f t="shared" si="2"/>
        <v>Ano ang salitang-ugat ng salitang \"anak-anakan\"?</v>
      </c>
      <c r="H98" s="2" t="str">
        <f t="shared" si="3"/>
        <v>anak</v>
      </c>
      <c r="I98" s="19" t="s">
        <v>2950</v>
      </c>
      <c r="J98" s="2" t="s">
        <v>2233</v>
      </c>
      <c r="K98" s="2" t="s">
        <v>213</v>
      </c>
      <c r="L98" s="2" t="s">
        <v>213</v>
      </c>
      <c r="M98" s="2" t="s">
        <v>2155</v>
      </c>
      <c r="N98" s="2" t="s">
        <v>2224</v>
      </c>
      <c r="O98" s="2" t="s">
        <v>2225</v>
      </c>
    </row>
    <row r="99" spans="1:15" ht="13" x14ac:dyDescent="0.15">
      <c r="A99" s="2" t="s">
        <v>2002</v>
      </c>
      <c r="B99" s="19" t="s">
        <v>2853</v>
      </c>
      <c r="C99" s="2" t="str">
        <f t="shared" ref="C99:D99" si="99">M99</f>
        <v>full</v>
      </c>
      <c r="D99" s="2" t="str">
        <f t="shared" si="99"/>
        <v>noun_diminutive</v>
      </c>
      <c r="E99" s="2"/>
      <c r="F99" s="2" t="str">
        <f t="shared" si="1"/>
        <v>What is the root word of the word \"tampu-tampuhan\"?</v>
      </c>
      <c r="G99" s="2" t="str">
        <f t="shared" si="2"/>
        <v>Ano ang salitang-ugat ng salitang \"tampu-tampuhan\"?</v>
      </c>
      <c r="H99" s="2" t="str">
        <f t="shared" si="3"/>
        <v>tampo</v>
      </c>
      <c r="I99" s="19" t="s">
        <v>2951</v>
      </c>
      <c r="J99" s="2" t="s">
        <v>2234</v>
      </c>
      <c r="K99" s="2" t="s">
        <v>2235</v>
      </c>
      <c r="L99" s="2" t="s">
        <v>2235</v>
      </c>
      <c r="M99" s="2" t="s">
        <v>2155</v>
      </c>
      <c r="N99" s="2" t="s">
        <v>2224</v>
      </c>
      <c r="O99" s="2" t="s">
        <v>2225</v>
      </c>
    </row>
    <row r="100" spans="1:15" ht="13" x14ac:dyDescent="0.15">
      <c r="A100" s="2" t="s">
        <v>2002</v>
      </c>
      <c r="B100" s="19" t="s">
        <v>2853</v>
      </c>
      <c r="C100" s="2" t="str">
        <f t="shared" ref="C100:D100" si="100">M100</f>
        <v>none</v>
      </c>
      <c r="D100" s="2" t="str">
        <f t="shared" si="100"/>
        <v>etymological</v>
      </c>
      <c r="E100" s="2"/>
      <c r="F100" s="2" t="str">
        <f t="shared" si="1"/>
        <v>What is the root word of the word \"paruparo\"?</v>
      </c>
      <c r="G100" s="2" t="str">
        <f t="shared" si="2"/>
        <v>Ano ang salitang-ugat ng salitang \"paruparo\"?</v>
      </c>
      <c r="H100" s="2" t="str">
        <f t="shared" si="3"/>
        <v>paruparo</v>
      </c>
      <c r="I100" s="19" t="s">
        <v>2952</v>
      </c>
      <c r="J100" s="2" t="s">
        <v>1747</v>
      </c>
      <c r="K100" s="2" t="s">
        <v>1747</v>
      </c>
      <c r="L100" s="2" t="s">
        <v>2236</v>
      </c>
      <c r="M100" s="2" t="s">
        <v>2236</v>
      </c>
      <c r="N100" s="2" t="s">
        <v>2237</v>
      </c>
    </row>
    <row r="101" spans="1:15" ht="13" x14ac:dyDescent="0.15">
      <c r="A101" s="2" t="s">
        <v>2002</v>
      </c>
      <c r="B101" s="19" t="s">
        <v>2853</v>
      </c>
      <c r="C101" s="2" t="str">
        <f t="shared" ref="C101:D101" si="101">M101</f>
        <v>none</v>
      </c>
      <c r="D101" s="2" t="str">
        <f t="shared" si="101"/>
        <v>etymological</v>
      </c>
      <c r="E101" s="2"/>
      <c r="F101" s="2" t="str">
        <f t="shared" si="1"/>
        <v>What is the root word of the word \"haluhalo\"?</v>
      </c>
      <c r="G101" s="2" t="str">
        <f t="shared" si="2"/>
        <v>Ano ang salitang-ugat ng salitang \"haluhalo\"?</v>
      </c>
      <c r="H101" s="2" t="str">
        <f t="shared" si="3"/>
        <v>haluhalo</v>
      </c>
      <c r="I101" s="19" t="s">
        <v>2953</v>
      </c>
      <c r="J101" s="2" t="s">
        <v>2238</v>
      </c>
      <c r="K101" s="2" t="s">
        <v>2238</v>
      </c>
      <c r="L101" s="2" t="s">
        <v>2236</v>
      </c>
      <c r="M101" s="2" t="s">
        <v>2236</v>
      </c>
      <c r="N101" s="2" t="s">
        <v>2237</v>
      </c>
    </row>
    <row r="102" spans="1:15" ht="13" x14ac:dyDescent="0.15">
      <c r="A102" s="2" t="s">
        <v>2002</v>
      </c>
      <c r="B102" s="19" t="s">
        <v>2853</v>
      </c>
      <c r="C102" s="2" t="str">
        <f t="shared" ref="C102:D102" si="102">M102</f>
        <v>none</v>
      </c>
      <c r="D102" s="2" t="str">
        <f t="shared" si="102"/>
        <v>etymological</v>
      </c>
      <c r="E102" s="2"/>
      <c r="F102" s="2" t="str">
        <f t="shared" si="1"/>
        <v>What is the root word of the word \"pakpak\"?</v>
      </c>
      <c r="G102" s="2" t="str">
        <f t="shared" si="2"/>
        <v>Ano ang salitang-ugat ng salitang \"pakpak\"?</v>
      </c>
      <c r="H102" s="2" t="str">
        <f t="shared" si="3"/>
        <v>pakpak</v>
      </c>
      <c r="I102" s="19" t="s">
        <v>2954</v>
      </c>
      <c r="J102" s="2" t="s">
        <v>2239</v>
      </c>
      <c r="K102" s="2" t="s">
        <v>2239</v>
      </c>
      <c r="L102" s="2" t="s">
        <v>2236</v>
      </c>
      <c r="M102" s="2" t="s">
        <v>2236</v>
      </c>
      <c r="N102" s="2" t="s">
        <v>2237</v>
      </c>
    </row>
    <row r="103" spans="1:15" ht="13" x14ac:dyDescent="0.15">
      <c r="A103" s="2" t="s">
        <v>2002</v>
      </c>
      <c r="B103" s="19" t="s">
        <v>2853</v>
      </c>
      <c r="C103" s="2" t="str">
        <f t="shared" ref="C103:D103" si="103">M103</f>
        <v>none</v>
      </c>
      <c r="D103" s="2" t="str">
        <f t="shared" si="103"/>
        <v>etymological</v>
      </c>
      <c r="E103" s="2"/>
      <c r="F103" s="2" t="str">
        <f t="shared" si="1"/>
        <v>What is the root word of the word \"halakhak\"?</v>
      </c>
      <c r="G103" s="2" t="str">
        <f t="shared" si="2"/>
        <v>Ano ang salitang-ugat ng salitang \"halakhak\"?</v>
      </c>
      <c r="H103" s="2" t="str">
        <f t="shared" si="3"/>
        <v>halakhak</v>
      </c>
      <c r="I103" s="19" t="s">
        <v>2955</v>
      </c>
      <c r="J103" s="2" t="s">
        <v>2240</v>
      </c>
      <c r="K103" s="2" t="s">
        <v>2240</v>
      </c>
      <c r="L103" s="2" t="s">
        <v>2236</v>
      </c>
      <c r="M103" s="2" t="s">
        <v>2236</v>
      </c>
      <c r="N103" s="2" t="s">
        <v>2237</v>
      </c>
    </row>
    <row r="104" spans="1:15" ht="13" x14ac:dyDescent="0.15">
      <c r="A104" s="2" t="s">
        <v>2002</v>
      </c>
      <c r="B104" s="19" t="s">
        <v>2853</v>
      </c>
      <c r="C104" s="2" t="str">
        <f t="shared" ref="C104:D104" si="104">M104</f>
        <v>none</v>
      </c>
      <c r="D104" s="2" t="str">
        <f t="shared" si="104"/>
        <v>etymological</v>
      </c>
      <c r="E104" s="2"/>
      <c r="F104" s="2" t="str">
        <f t="shared" si="1"/>
        <v>What is the root word of the word \"dagdag\"?</v>
      </c>
      <c r="G104" s="2" t="str">
        <f t="shared" si="2"/>
        <v>Ano ang salitang-ugat ng salitang \"dagdag\"?</v>
      </c>
      <c r="H104" s="2" t="str">
        <f t="shared" si="3"/>
        <v>dagdag</v>
      </c>
      <c r="I104" s="19" t="s">
        <v>2956</v>
      </c>
      <c r="J104" s="2" t="s">
        <v>2241</v>
      </c>
      <c r="K104" s="2" t="s">
        <v>2241</v>
      </c>
      <c r="L104" s="2" t="s">
        <v>2236</v>
      </c>
      <c r="M104" s="2" t="s">
        <v>2236</v>
      </c>
      <c r="N104" s="2" t="s">
        <v>2237</v>
      </c>
    </row>
    <row r="105" spans="1:15" ht="13" x14ac:dyDescent="0.15">
      <c r="A105" s="2" t="s">
        <v>2002</v>
      </c>
      <c r="B105" s="19" t="s">
        <v>2853</v>
      </c>
      <c r="C105" s="2" t="str">
        <f t="shared" ref="C105:D105" si="105">M105</f>
        <v>none</v>
      </c>
      <c r="D105" s="2" t="str">
        <f t="shared" si="105"/>
        <v>etymological</v>
      </c>
      <c r="E105" s="2"/>
      <c r="F105" s="2" t="str">
        <f t="shared" si="1"/>
        <v>What is the root word of the word \"bulatlatin\"?</v>
      </c>
      <c r="G105" s="2" t="str">
        <f t="shared" si="2"/>
        <v>Ano ang salitang-ugat ng salitang \"bulatlatin\"?</v>
      </c>
      <c r="H105" s="2" t="str">
        <f t="shared" si="3"/>
        <v>bulatlat</v>
      </c>
      <c r="I105" s="19" t="s">
        <v>2957</v>
      </c>
      <c r="J105" s="2" t="s">
        <v>2242</v>
      </c>
      <c r="K105" s="2" t="s">
        <v>2243</v>
      </c>
      <c r="L105" s="2" t="s">
        <v>2236</v>
      </c>
      <c r="M105" s="2" t="s">
        <v>2236</v>
      </c>
      <c r="N105" s="2" t="s">
        <v>2237</v>
      </c>
    </row>
    <row r="106" spans="1:15" ht="13" x14ac:dyDescent="0.15">
      <c r="A106" s="2" t="s">
        <v>2002</v>
      </c>
      <c r="B106" s="19" t="s">
        <v>2853</v>
      </c>
      <c r="C106" s="2" t="str">
        <f t="shared" ref="C106:D106" si="106">M106</f>
        <v>none</v>
      </c>
      <c r="D106" s="2" t="str">
        <f t="shared" si="106"/>
        <v>etymological</v>
      </c>
      <c r="E106" s="2"/>
      <c r="F106" s="2" t="str">
        <f t="shared" si="1"/>
        <v>What is the root word of the word \"kilikili\"?</v>
      </c>
      <c r="G106" s="2" t="str">
        <f t="shared" si="2"/>
        <v>Ano ang salitang-ugat ng salitang \"kilikili\"?</v>
      </c>
      <c r="H106" s="2" t="str">
        <f t="shared" si="3"/>
        <v>kilikili</v>
      </c>
      <c r="I106" s="19" t="s">
        <v>2958</v>
      </c>
      <c r="J106" s="2" t="s">
        <v>2244</v>
      </c>
      <c r="K106" s="2" t="s">
        <v>2244</v>
      </c>
      <c r="L106" s="2" t="s">
        <v>2236</v>
      </c>
      <c r="M106" s="2" t="s">
        <v>2236</v>
      </c>
      <c r="N106" s="2" t="s">
        <v>2237</v>
      </c>
    </row>
    <row r="107" spans="1:15" ht="13" x14ac:dyDescent="0.15">
      <c r="A107" s="2" t="s">
        <v>2002</v>
      </c>
      <c r="B107" s="19" t="s">
        <v>2853</v>
      </c>
      <c r="C107" s="2" t="str">
        <f t="shared" ref="C107:D107" si="107">M107</f>
        <v>none</v>
      </c>
      <c r="D107" s="2" t="str">
        <f t="shared" si="107"/>
        <v>etymological</v>
      </c>
      <c r="E107" s="2"/>
      <c r="F107" s="2" t="str">
        <f t="shared" si="1"/>
        <v>What is the root word of the word \"kasukasuan\"?</v>
      </c>
      <c r="G107" s="2" t="str">
        <f t="shared" si="2"/>
        <v>Ano ang salitang-ugat ng salitang \"kasukasuan\"?</v>
      </c>
      <c r="H107" s="2" t="str">
        <f t="shared" si="3"/>
        <v>kasukasuan</v>
      </c>
      <c r="I107" s="19" t="s">
        <v>2959</v>
      </c>
      <c r="J107" s="2" t="s">
        <v>2245</v>
      </c>
      <c r="K107" s="2" t="s">
        <v>2245</v>
      </c>
      <c r="L107" s="2" t="s">
        <v>2236</v>
      </c>
      <c r="M107" s="2" t="s">
        <v>2236</v>
      </c>
      <c r="N107" s="2" t="s">
        <v>2237</v>
      </c>
    </row>
    <row r="108" spans="1:15" ht="15" x14ac:dyDescent="0.2">
      <c r="A108" s="2" t="s">
        <v>2002</v>
      </c>
      <c r="B108" s="19" t="s">
        <v>2853</v>
      </c>
      <c r="C108" s="2" t="str">
        <f t="shared" ref="C108:D108" si="108">M108</f>
        <v>none</v>
      </c>
      <c r="D108" s="2" t="str">
        <f t="shared" si="108"/>
        <v>etymological</v>
      </c>
      <c r="E108" s="11"/>
      <c r="F108" s="2" t="str">
        <f t="shared" si="1"/>
        <v>What is the root word of the word \"babae\"?</v>
      </c>
      <c r="G108" s="2" t="str">
        <f t="shared" si="2"/>
        <v>Ano ang salitang-ugat ng salitang \"babae\"?</v>
      </c>
      <c r="H108" s="2" t="str">
        <f t="shared" si="3"/>
        <v>babae</v>
      </c>
      <c r="I108" s="19" t="s">
        <v>2960</v>
      </c>
      <c r="J108" s="11" t="s">
        <v>2246</v>
      </c>
      <c r="K108" s="11" t="s">
        <v>2246</v>
      </c>
      <c r="L108" s="2" t="s">
        <v>2236</v>
      </c>
      <c r="M108" s="2" t="s">
        <v>2236</v>
      </c>
      <c r="N108" s="2" t="s">
        <v>2237</v>
      </c>
    </row>
    <row r="109" spans="1:15" ht="15" x14ac:dyDescent="0.2">
      <c r="A109" s="2" t="s">
        <v>2002</v>
      </c>
      <c r="B109" s="19" t="s">
        <v>2853</v>
      </c>
      <c r="C109" s="2" t="str">
        <f t="shared" ref="C109:D109" si="109">M109</f>
        <v>none</v>
      </c>
      <c r="D109" s="2" t="str">
        <f t="shared" si="109"/>
        <v>etymological</v>
      </c>
      <c r="E109" s="11"/>
      <c r="F109" s="2" t="str">
        <f t="shared" si="1"/>
        <v>What is the root word of the word \"lalaki\"?</v>
      </c>
      <c r="G109" s="2" t="str">
        <f t="shared" si="2"/>
        <v>Ano ang salitang-ugat ng salitang \"lalaki\"?</v>
      </c>
      <c r="H109" s="2" t="str">
        <f t="shared" si="3"/>
        <v>lalaki</v>
      </c>
      <c r="I109" s="19" t="s">
        <v>2961</v>
      </c>
      <c r="J109" s="11" t="s">
        <v>2247</v>
      </c>
      <c r="K109" s="11" t="s">
        <v>2247</v>
      </c>
      <c r="L109" s="2" t="s">
        <v>2236</v>
      </c>
      <c r="M109" s="2" t="s">
        <v>2236</v>
      </c>
      <c r="N109" s="2" t="s">
        <v>2237</v>
      </c>
    </row>
    <row r="110" spans="1:15" ht="15" x14ac:dyDescent="0.2">
      <c r="A110" s="2" t="s">
        <v>2002</v>
      </c>
      <c r="B110" s="19" t="s">
        <v>2853</v>
      </c>
      <c r="C110" s="2" t="str">
        <f t="shared" ref="C110:D110" si="110">M110</f>
        <v>none</v>
      </c>
      <c r="D110" s="2" t="str">
        <f t="shared" si="110"/>
        <v>etymological</v>
      </c>
      <c r="E110" s="11"/>
      <c r="F110" s="2" t="str">
        <f t="shared" si="1"/>
        <v>What is the root word of the word \"lalawigan\"?</v>
      </c>
      <c r="G110" s="2" t="str">
        <f t="shared" si="2"/>
        <v>Ano ang salitang-ugat ng salitang \"lalawigan\"?</v>
      </c>
      <c r="H110" s="2" t="str">
        <f t="shared" si="3"/>
        <v>lalawigan</v>
      </c>
      <c r="I110" s="19" t="s">
        <v>2962</v>
      </c>
      <c r="J110" s="11" t="s">
        <v>2248</v>
      </c>
      <c r="K110" s="11" t="s">
        <v>2248</v>
      </c>
      <c r="L110" s="2" t="s">
        <v>2236</v>
      </c>
      <c r="M110" s="2" t="s">
        <v>2236</v>
      </c>
      <c r="N110" s="2" t="s">
        <v>2237</v>
      </c>
    </row>
    <row r="111" spans="1:15" ht="15" x14ac:dyDescent="0.2">
      <c r="A111" s="2" t="s">
        <v>2002</v>
      </c>
      <c r="B111" s="19" t="s">
        <v>2853</v>
      </c>
      <c r="C111" s="2" t="str">
        <f t="shared" ref="C111:D111" si="111">M111</f>
        <v>none</v>
      </c>
      <c r="D111" s="2" t="str">
        <f t="shared" si="111"/>
        <v>etymological</v>
      </c>
      <c r="E111" s="11"/>
      <c r="F111" s="2" t="str">
        <f t="shared" si="1"/>
        <v>What is the root word of the word \"titik\"?</v>
      </c>
      <c r="G111" s="2" t="str">
        <f t="shared" si="2"/>
        <v>Ano ang salitang-ugat ng salitang \"titik\"?</v>
      </c>
      <c r="H111" s="2" t="str">
        <f t="shared" si="3"/>
        <v>titik</v>
      </c>
      <c r="I111" s="19" t="s">
        <v>2963</v>
      </c>
      <c r="J111" s="11" t="s">
        <v>2249</v>
      </c>
      <c r="K111" s="11" t="s">
        <v>2249</v>
      </c>
      <c r="L111" s="2" t="s">
        <v>2236</v>
      </c>
      <c r="M111" s="2" t="s">
        <v>2236</v>
      </c>
      <c r="N111" s="2" t="s">
        <v>2237</v>
      </c>
    </row>
    <row r="112" spans="1:15" ht="15" x14ac:dyDescent="0.2">
      <c r="A112" s="2" t="s">
        <v>2002</v>
      </c>
      <c r="B112" s="19" t="s">
        <v>2853</v>
      </c>
      <c r="C112" s="2" t="str">
        <f t="shared" ref="C112:D112" si="112">M112</f>
        <v>none</v>
      </c>
      <c r="D112" s="2" t="str">
        <f t="shared" si="112"/>
        <v>etymological</v>
      </c>
      <c r="E112" s="11"/>
      <c r="F112" s="2" t="str">
        <f t="shared" si="1"/>
        <v>What is the root word of the word \"sarsa\"?</v>
      </c>
      <c r="G112" s="2" t="str">
        <f t="shared" si="2"/>
        <v>Ano ang salitang-ugat ng salitang \"sarsa\"?</v>
      </c>
      <c r="H112" s="2" t="str">
        <f t="shared" si="3"/>
        <v>sarsa</v>
      </c>
      <c r="I112" s="19" t="s">
        <v>2964</v>
      </c>
      <c r="J112" s="11" t="s">
        <v>2250</v>
      </c>
      <c r="K112" s="11" t="s">
        <v>2250</v>
      </c>
      <c r="L112" s="2" t="s">
        <v>2236</v>
      </c>
      <c r="M112" s="2" t="s">
        <v>2236</v>
      </c>
      <c r="N112" s="2" t="s">
        <v>2237</v>
      </c>
    </row>
    <row r="113" spans="1:14" ht="15" x14ac:dyDescent="0.2">
      <c r="A113" s="2" t="s">
        <v>2002</v>
      </c>
      <c r="B113" s="19" t="s">
        <v>2853</v>
      </c>
      <c r="C113" s="2" t="str">
        <f t="shared" ref="C113:D113" si="113">M113</f>
        <v>none</v>
      </c>
      <c r="D113" s="2" t="str">
        <f t="shared" si="113"/>
        <v>etymological</v>
      </c>
      <c r="E113" s="11"/>
      <c r="F113" s="2" t="str">
        <f t="shared" si="1"/>
        <v>What is the root word of the word \"gakgak\"?</v>
      </c>
      <c r="G113" s="2" t="str">
        <f t="shared" si="2"/>
        <v>Ano ang salitang-ugat ng salitang \"gakgak\"?</v>
      </c>
      <c r="H113" s="2" t="str">
        <f t="shared" si="3"/>
        <v>gakgak</v>
      </c>
      <c r="I113" s="19" t="s">
        <v>2965</v>
      </c>
      <c r="J113" s="11" t="s">
        <v>2251</v>
      </c>
      <c r="K113" s="11" t="s">
        <v>2251</v>
      </c>
      <c r="L113" s="2" t="s">
        <v>2236</v>
      </c>
      <c r="M113" s="2" t="s">
        <v>2236</v>
      </c>
      <c r="N113" s="2" t="s">
        <v>2237</v>
      </c>
    </row>
    <row r="114" spans="1:14" ht="15" x14ac:dyDescent="0.2">
      <c r="A114" s="2" t="s">
        <v>2002</v>
      </c>
      <c r="B114" s="19" t="s">
        <v>2853</v>
      </c>
      <c r="C114" s="2" t="str">
        <f t="shared" ref="C114:D114" si="114">M114</f>
        <v>none</v>
      </c>
      <c r="D114" s="2" t="str">
        <f t="shared" si="114"/>
        <v>etymological</v>
      </c>
      <c r="E114" s="11"/>
      <c r="F114" s="2" t="str">
        <f t="shared" si="1"/>
        <v>What is the root word of the word \"luklukan\"?</v>
      </c>
      <c r="G114" s="2" t="str">
        <f t="shared" si="2"/>
        <v>Ano ang salitang-ugat ng salitang \"luklukan\"?</v>
      </c>
      <c r="H114" s="2" t="str">
        <f t="shared" si="3"/>
        <v>luklukan</v>
      </c>
      <c r="I114" s="19" t="s">
        <v>2966</v>
      </c>
      <c r="J114" s="11" t="s">
        <v>2252</v>
      </c>
      <c r="K114" s="11" t="s">
        <v>2252</v>
      </c>
      <c r="L114" s="2" t="s">
        <v>2236</v>
      </c>
      <c r="M114" s="2" t="s">
        <v>2236</v>
      </c>
      <c r="N114" s="2" t="s">
        <v>2237</v>
      </c>
    </row>
    <row r="115" spans="1:14" ht="15" x14ac:dyDescent="0.2">
      <c r="A115" s="2" t="s">
        <v>2002</v>
      </c>
      <c r="B115" s="19" t="s">
        <v>2853</v>
      </c>
      <c r="C115" s="2" t="str">
        <f t="shared" ref="C115:D115" si="115">M115</f>
        <v>none</v>
      </c>
      <c r="D115" s="2" t="str">
        <f t="shared" si="115"/>
        <v>etymological</v>
      </c>
      <c r="E115" s="11"/>
      <c r="F115" s="2" t="str">
        <f t="shared" si="1"/>
        <v>What is the root word of the word \"tatak\"?</v>
      </c>
      <c r="G115" s="2" t="str">
        <f t="shared" si="2"/>
        <v>Ano ang salitang-ugat ng salitang \"tatak\"?</v>
      </c>
      <c r="H115" s="2" t="str">
        <f t="shared" si="3"/>
        <v>tatak</v>
      </c>
      <c r="I115" s="19" t="s">
        <v>2967</v>
      </c>
      <c r="J115" s="11" t="s">
        <v>2253</v>
      </c>
      <c r="K115" s="11" t="s">
        <v>2253</v>
      </c>
      <c r="L115" s="2" t="s">
        <v>2236</v>
      </c>
      <c r="M115" s="2" t="s">
        <v>2236</v>
      </c>
      <c r="N115" s="2" t="s">
        <v>2237</v>
      </c>
    </row>
    <row r="116" spans="1:14" ht="15" x14ac:dyDescent="0.2">
      <c r="A116" s="2" t="s">
        <v>2002</v>
      </c>
      <c r="B116" s="19" t="s">
        <v>2853</v>
      </c>
      <c r="C116" s="2" t="str">
        <f t="shared" ref="C116:D116" si="116">M116</f>
        <v>none</v>
      </c>
      <c r="D116" s="2" t="str">
        <f t="shared" si="116"/>
        <v>etymological</v>
      </c>
      <c r="E116" s="11"/>
      <c r="F116" s="2" t="str">
        <f t="shared" si="1"/>
        <v>What is the root word of the word \"pampang\"?</v>
      </c>
      <c r="G116" s="2" t="str">
        <f t="shared" si="2"/>
        <v>Ano ang salitang-ugat ng salitang \"pampang\"?</v>
      </c>
      <c r="H116" s="2" t="str">
        <f t="shared" si="3"/>
        <v>pampang</v>
      </c>
      <c r="I116" s="19" t="s">
        <v>2968</v>
      </c>
      <c r="J116" s="11" t="s">
        <v>2254</v>
      </c>
      <c r="K116" s="11" t="s">
        <v>2254</v>
      </c>
      <c r="L116" s="2" t="s">
        <v>2236</v>
      </c>
      <c r="M116" s="2" t="s">
        <v>2236</v>
      </c>
      <c r="N116" s="2" t="s">
        <v>2237</v>
      </c>
    </row>
    <row r="117" spans="1:14" ht="15" x14ac:dyDescent="0.2">
      <c r="A117" s="2" t="s">
        <v>2002</v>
      </c>
      <c r="B117" s="19" t="s">
        <v>2853</v>
      </c>
      <c r="C117" s="2" t="str">
        <f t="shared" ref="C117:D117" si="117">M117</f>
        <v>none</v>
      </c>
      <c r="D117" s="2" t="str">
        <f t="shared" si="117"/>
        <v>etymological</v>
      </c>
      <c r="E117" s="11"/>
      <c r="F117" s="2" t="str">
        <f t="shared" si="1"/>
        <v>What is the root word of the word \"gigi\"?</v>
      </c>
      <c r="G117" s="2" t="str">
        <f t="shared" si="2"/>
        <v>Ano ang salitang-ugat ng salitang \"gigi\"?</v>
      </c>
      <c r="H117" s="2" t="str">
        <f t="shared" si="3"/>
        <v>gigi</v>
      </c>
      <c r="I117" s="19" t="s">
        <v>2969</v>
      </c>
      <c r="J117" s="11" t="s">
        <v>2255</v>
      </c>
      <c r="K117" s="11" t="s">
        <v>2255</v>
      </c>
      <c r="L117" s="2" t="s">
        <v>2236</v>
      </c>
      <c r="M117" s="2" t="s">
        <v>2236</v>
      </c>
      <c r="N117" s="2" t="s">
        <v>2237</v>
      </c>
    </row>
    <row r="118" spans="1:14" ht="15" x14ac:dyDescent="0.2">
      <c r="A118" s="2" t="s">
        <v>2002</v>
      </c>
      <c r="B118" s="19" t="s">
        <v>2853</v>
      </c>
      <c r="C118" s="2" t="str">
        <f t="shared" ref="C118:D118" si="118">M118</f>
        <v>none</v>
      </c>
      <c r="D118" s="2" t="str">
        <f t="shared" si="118"/>
        <v>etymological</v>
      </c>
      <c r="E118" s="11"/>
      <c r="F118" s="2" t="str">
        <f t="shared" si="1"/>
        <v>What is the root word of the word \"damdamin\"?</v>
      </c>
      <c r="G118" s="2" t="str">
        <f t="shared" si="2"/>
        <v>Ano ang salitang-ugat ng salitang \"damdamin\"?</v>
      </c>
      <c r="H118" s="2" t="str">
        <f t="shared" si="3"/>
        <v>damdamin</v>
      </c>
      <c r="I118" s="19" t="s">
        <v>2970</v>
      </c>
      <c r="J118" s="11" t="s">
        <v>2256</v>
      </c>
      <c r="K118" s="11" t="s">
        <v>2256</v>
      </c>
      <c r="L118" s="2" t="s">
        <v>2236</v>
      </c>
      <c r="M118" s="2" t="s">
        <v>2236</v>
      </c>
      <c r="N118" s="2" t="s">
        <v>2237</v>
      </c>
    </row>
    <row r="119" spans="1:14" ht="15" x14ac:dyDescent="0.2">
      <c r="A119" s="2" t="s">
        <v>2002</v>
      </c>
      <c r="B119" s="19" t="s">
        <v>2853</v>
      </c>
      <c r="C119" s="2" t="str">
        <f t="shared" ref="C119:D119" si="119">M119</f>
        <v>none</v>
      </c>
      <c r="D119" s="2" t="str">
        <f t="shared" si="119"/>
        <v>etymological</v>
      </c>
      <c r="E119" s="11"/>
      <c r="F119" s="2" t="str">
        <f t="shared" si="1"/>
        <v>What is the root word of the word \"mismis\"?</v>
      </c>
      <c r="G119" s="2" t="str">
        <f t="shared" si="2"/>
        <v>Ano ang salitang-ugat ng salitang \"mismis\"?</v>
      </c>
      <c r="H119" s="2" t="str">
        <f t="shared" si="3"/>
        <v>mismis</v>
      </c>
      <c r="I119" s="19" t="s">
        <v>2971</v>
      </c>
      <c r="J119" s="11" t="s">
        <v>2257</v>
      </c>
      <c r="K119" s="11" t="s">
        <v>2257</v>
      </c>
      <c r="L119" s="2" t="s">
        <v>2236</v>
      </c>
      <c r="M119" s="2" t="s">
        <v>2236</v>
      </c>
      <c r="N119" s="2" t="s">
        <v>2237</v>
      </c>
    </row>
    <row r="120" spans="1:14" ht="15" x14ac:dyDescent="0.2">
      <c r="A120" s="2" t="s">
        <v>2002</v>
      </c>
      <c r="B120" s="19" t="s">
        <v>2853</v>
      </c>
      <c r="C120" s="2" t="str">
        <f t="shared" ref="C120:D120" si="120">M120</f>
        <v>none</v>
      </c>
      <c r="D120" s="2" t="str">
        <f t="shared" si="120"/>
        <v>etymological</v>
      </c>
      <c r="E120" s="11"/>
      <c r="F120" s="2" t="str">
        <f t="shared" si="1"/>
        <v>What is the root word of the word \"lilim\"?</v>
      </c>
      <c r="G120" s="2" t="str">
        <f t="shared" si="2"/>
        <v>Ano ang salitang-ugat ng salitang \"lilim\"?</v>
      </c>
      <c r="H120" s="2" t="str">
        <f t="shared" si="3"/>
        <v>lilim</v>
      </c>
      <c r="I120" s="19" t="s">
        <v>2972</v>
      </c>
      <c r="J120" s="11" t="s">
        <v>2258</v>
      </c>
      <c r="K120" s="11" t="s">
        <v>2258</v>
      </c>
      <c r="L120" s="2" t="s">
        <v>2236</v>
      </c>
      <c r="M120" s="2" t="s">
        <v>2236</v>
      </c>
      <c r="N120" s="2" t="s">
        <v>2237</v>
      </c>
    </row>
    <row r="121" spans="1:14" ht="15" x14ac:dyDescent="0.2">
      <c r="A121" s="2" t="s">
        <v>2002</v>
      </c>
      <c r="B121" s="19" t="s">
        <v>2853</v>
      </c>
      <c r="C121" s="2" t="str">
        <f t="shared" ref="C121:D121" si="121">M121</f>
        <v>none</v>
      </c>
      <c r="D121" s="2" t="str">
        <f t="shared" si="121"/>
        <v>etymological</v>
      </c>
      <c r="E121" s="11"/>
      <c r="F121" s="2" t="str">
        <f t="shared" si="1"/>
        <v>What is the root word of the word \"yikyik\"?</v>
      </c>
      <c r="G121" s="2" t="str">
        <f t="shared" si="2"/>
        <v>Ano ang salitang-ugat ng salitang \"yikyik\"?</v>
      </c>
      <c r="H121" s="2" t="str">
        <f t="shared" si="3"/>
        <v>yikyik</v>
      </c>
      <c r="I121" s="19" t="s">
        <v>2973</v>
      </c>
      <c r="J121" s="11" t="s">
        <v>2259</v>
      </c>
      <c r="K121" s="11" t="s">
        <v>2259</v>
      </c>
      <c r="L121" s="2" t="s">
        <v>2236</v>
      </c>
      <c r="M121" s="2" t="s">
        <v>2236</v>
      </c>
      <c r="N121" s="2" t="s">
        <v>2237</v>
      </c>
    </row>
    <row r="122" spans="1:14" ht="15" x14ac:dyDescent="0.2">
      <c r="A122" s="2" t="s">
        <v>2002</v>
      </c>
      <c r="B122" s="19" t="s">
        <v>2853</v>
      </c>
      <c r="C122" s="2" t="str">
        <f t="shared" ref="C122:D122" si="122">M122</f>
        <v>none</v>
      </c>
      <c r="D122" s="2" t="str">
        <f t="shared" si="122"/>
        <v>etymological</v>
      </c>
      <c r="E122" s="11"/>
      <c r="F122" s="2" t="str">
        <f t="shared" si="1"/>
        <v>What is the root word of the word \"bubuyog\"?</v>
      </c>
      <c r="G122" s="2" t="str">
        <f t="shared" si="2"/>
        <v>Ano ang salitang-ugat ng salitang \"bubuyog\"?</v>
      </c>
      <c r="H122" s="2" t="str">
        <f t="shared" si="3"/>
        <v>bubuyog</v>
      </c>
      <c r="I122" s="19" t="s">
        <v>2974</v>
      </c>
      <c r="J122" s="11" t="s">
        <v>2260</v>
      </c>
      <c r="K122" s="11" t="s">
        <v>2260</v>
      </c>
      <c r="L122" s="2" t="s">
        <v>2236</v>
      </c>
      <c r="M122" s="2" t="s">
        <v>2236</v>
      </c>
      <c r="N122" s="2" t="s">
        <v>2237</v>
      </c>
    </row>
    <row r="123" spans="1:14" ht="15" x14ac:dyDescent="0.2">
      <c r="A123" s="2" t="s">
        <v>2002</v>
      </c>
      <c r="B123" s="19" t="s">
        <v>2853</v>
      </c>
      <c r="C123" s="2" t="str">
        <f t="shared" ref="C123:D123" si="123">M123</f>
        <v>none</v>
      </c>
      <c r="D123" s="2" t="str">
        <f t="shared" si="123"/>
        <v>etymological</v>
      </c>
      <c r="E123" s="11"/>
      <c r="F123" s="2" t="str">
        <f t="shared" si="1"/>
        <v>What is the root word of the word \"liblib\"?</v>
      </c>
      <c r="G123" s="2" t="str">
        <f t="shared" si="2"/>
        <v>Ano ang salitang-ugat ng salitang \"liblib\"?</v>
      </c>
      <c r="H123" s="2" t="str">
        <f t="shared" si="3"/>
        <v>liblib</v>
      </c>
      <c r="I123" s="19" t="s">
        <v>2975</v>
      </c>
      <c r="J123" s="11" t="s">
        <v>2261</v>
      </c>
      <c r="K123" s="11" t="s">
        <v>2261</v>
      </c>
      <c r="L123" s="2" t="s">
        <v>2236</v>
      </c>
      <c r="M123" s="2" t="s">
        <v>2236</v>
      </c>
      <c r="N123" s="2" t="s">
        <v>2237</v>
      </c>
    </row>
    <row r="124" spans="1:14" ht="15" x14ac:dyDescent="0.2">
      <c r="A124" s="2" t="s">
        <v>2002</v>
      </c>
      <c r="B124" s="19" t="s">
        <v>2853</v>
      </c>
      <c r="C124" s="2" t="str">
        <f t="shared" ref="C124:D124" si="124">M124</f>
        <v>none</v>
      </c>
      <c r="D124" s="2" t="str">
        <f t="shared" si="124"/>
        <v>etymological</v>
      </c>
      <c r="E124" s="11"/>
      <c r="F124" s="2" t="str">
        <f t="shared" si="1"/>
        <v>What is the root word of the word \"babalokat\"?</v>
      </c>
      <c r="G124" s="2" t="str">
        <f t="shared" si="2"/>
        <v>Ano ang salitang-ugat ng salitang \"babalokat\"?</v>
      </c>
      <c r="H124" s="2" t="str">
        <f t="shared" si="3"/>
        <v>babalokat</v>
      </c>
      <c r="I124" s="19" t="s">
        <v>2976</v>
      </c>
      <c r="J124" s="11" t="s">
        <v>2262</v>
      </c>
      <c r="K124" s="11" t="s">
        <v>2262</v>
      </c>
      <c r="L124" s="2" t="s">
        <v>2236</v>
      </c>
      <c r="M124" s="2" t="s">
        <v>2236</v>
      </c>
      <c r="N124" s="2" t="s">
        <v>2237</v>
      </c>
    </row>
    <row r="125" spans="1:14" ht="15" x14ac:dyDescent="0.2">
      <c r="A125" s="2" t="s">
        <v>2002</v>
      </c>
      <c r="B125" s="19" t="s">
        <v>2853</v>
      </c>
      <c r="C125" s="2" t="str">
        <f t="shared" ref="C125:D125" si="125">M125</f>
        <v>none</v>
      </c>
      <c r="D125" s="2" t="str">
        <f t="shared" si="125"/>
        <v>etymological</v>
      </c>
      <c r="E125" s="11"/>
      <c r="F125" s="2" t="str">
        <f t="shared" si="1"/>
        <v>What is the root word of the word \"lidlid\"?</v>
      </c>
      <c r="G125" s="2" t="str">
        <f t="shared" si="2"/>
        <v>Ano ang salitang-ugat ng salitang \"lidlid\"?</v>
      </c>
      <c r="H125" s="2" t="str">
        <f t="shared" si="3"/>
        <v>lidlid</v>
      </c>
      <c r="I125" s="19" t="s">
        <v>2977</v>
      </c>
      <c r="J125" s="11" t="s">
        <v>2263</v>
      </c>
      <c r="K125" s="11" t="s">
        <v>2263</v>
      </c>
      <c r="L125" s="2" t="s">
        <v>2236</v>
      </c>
      <c r="M125" s="2" t="s">
        <v>2236</v>
      </c>
      <c r="N125" s="2" t="s">
        <v>2237</v>
      </c>
    </row>
    <row r="126" spans="1:14" ht="15" x14ac:dyDescent="0.2">
      <c r="A126" s="2" t="s">
        <v>2002</v>
      </c>
      <c r="B126" s="19" t="s">
        <v>2853</v>
      </c>
      <c r="C126" s="2" t="str">
        <f t="shared" ref="C126:D126" si="126">M126</f>
        <v>none</v>
      </c>
      <c r="D126" s="2" t="str">
        <f t="shared" si="126"/>
        <v>etymological</v>
      </c>
      <c r="E126" s="11"/>
      <c r="F126" s="2" t="str">
        <f t="shared" si="1"/>
        <v>What is the root word of the word \"yayat\"?</v>
      </c>
      <c r="G126" s="2" t="str">
        <f t="shared" si="2"/>
        <v>Ano ang salitang-ugat ng salitang \"yayat\"?</v>
      </c>
      <c r="H126" s="2" t="str">
        <f t="shared" si="3"/>
        <v>yayat</v>
      </c>
      <c r="I126" s="19" t="s">
        <v>2978</v>
      </c>
      <c r="J126" s="11" t="s">
        <v>2264</v>
      </c>
      <c r="K126" s="11" t="s">
        <v>2264</v>
      </c>
      <c r="L126" s="2" t="s">
        <v>2236</v>
      </c>
      <c r="M126" s="2" t="s">
        <v>2236</v>
      </c>
      <c r="N126" s="2" t="s">
        <v>2237</v>
      </c>
    </row>
    <row r="127" spans="1:14" ht="15" x14ac:dyDescent="0.2">
      <c r="A127" s="2" t="s">
        <v>2002</v>
      </c>
      <c r="B127" s="19" t="s">
        <v>2853</v>
      </c>
      <c r="C127" s="2" t="str">
        <f t="shared" ref="C127:D127" si="127">M127</f>
        <v>none</v>
      </c>
      <c r="D127" s="2" t="str">
        <f t="shared" si="127"/>
        <v>etymological</v>
      </c>
      <c r="E127" s="11"/>
      <c r="F127" s="2" t="str">
        <f t="shared" si="1"/>
        <v>What is the root word of the word \"baybay\"?</v>
      </c>
      <c r="G127" s="2" t="str">
        <f t="shared" si="2"/>
        <v>Ano ang salitang-ugat ng salitang \"baybay\"?</v>
      </c>
      <c r="H127" s="2" t="str">
        <f t="shared" si="3"/>
        <v>baybay</v>
      </c>
      <c r="I127" s="19" t="s">
        <v>2979</v>
      </c>
      <c r="J127" s="11" t="s">
        <v>2265</v>
      </c>
      <c r="K127" s="11" t="s">
        <v>2265</v>
      </c>
      <c r="L127" s="2" t="s">
        <v>2236</v>
      </c>
      <c r="M127" s="2" t="s">
        <v>2236</v>
      </c>
      <c r="N127" s="2" t="s">
        <v>2237</v>
      </c>
    </row>
    <row r="128" spans="1:14" ht="15" x14ac:dyDescent="0.2">
      <c r="A128" s="2" t="s">
        <v>2002</v>
      </c>
      <c r="B128" s="19" t="s">
        <v>2853</v>
      </c>
      <c r="C128" s="2" t="str">
        <f t="shared" ref="C128:D128" si="128">M128</f>
        <v>none</v>
      </c>
      <c r="D128" s="2" t="str">
        <f t="shared" si="128"/>
        <v>etymological</v>
      </c>
      <c r="E128" s="11"/>
      <c r="F128" s="2" t="str">
        <f t="shared" si="1"/>
        <v>What is the root word of the word \"kiki\"?</v>
      </c>
      <c r="G128" s="2" t="str">
        <f t="shared" si="2"/>
        <v>Ano ang salitang-ugat ng salitang \"kiki\"?</v>
      </c>
      <c r="H128" s="2" t="str">
        <f t="shared" si="3"/>
        <v>kiki</v>
      </c>
      <c r="I128" s="19" t="s">
        <v>2980</v>
      </c>
      <c r="J128" s="11" t="s">
        <v>2266</v>
      </c>
      <c r="K128" s="11" t="s">
        <v>2266</v>
      </c>
      <c r="L128" s="2" t="s">
        <v>2236</v>
      </c>
      <c r="M128" s="2" t="s">
        <v>2236</v>
      </c>
      <c r="N128" s="2" t="s">
        <v>2237</v>
      </c>
    </row>
    <row r="129" spans="1:14" ht="15" x14ac:dyDescent="0.2">
      <c r="A129" s="2" t="s">
        <v>2002</v>
      </c>
      <c r="B129" s="19" t="s">
        <v>2853</v>
      </c>
      <c r="C129" s="2" t="str">
        <f t="shared" ref="C129:D129" si="129">M129</f>
        <v>none</v>
      </c>
      <c r="D129" s="2" t="str">
        <f t="shared" si="129"/>
        <v>etymological</v>
      </c>
      <c r="E129" s="11"/>
      <c r="F129" s="2" t="str">
        <f t="shared" si="1"/>
        <v>What is the root word of the word \"kipkip\"?</v>
      </c>
      <c r="G129" s="2" t="str">
        <f t="shared" si="2"/>
        <v>Ano ang salitang-ugat ng salitang \"kipkip\"?</v>
      </c>
      <c r="H129" s="2" t="str">
        <f t="shared" si="3"/>
        <v>kipkip</v>
      </c>
      <c r="I129" s="19" t="s">
        <v>2981</v>
      </c>
      <c r="J129" s="11" t="s">
        <v>2267</v>
      </c>
      <c r="K129" s="11" t="s">
        <v>2267</v>
      </c>
      <c r="L129" s="2" t="s">
        <v>2236</v>
      </c>
      <c r="M129" s="2" t="s">
        <v>2236</v>
      </c>
      <c r="N129" s="2" t="s">
        <v>2237</v>
      </c>
    </row>
    <row r="130" spans="1:14" ht="15" x14ac:dyDescent="0.2">
      <c r="A130" s="2" t="s">
        <v>2002</v>
      </c>
      <c r="B130" s="19" t="s">
        <v>2853</v>
      </c>
      <c r="C130" s="2" t="str">
        <f t="shared" ref="C130:D130" si="130">M130</f>
        <v>none</v>
      </c>
      <c r="D130" s="2" t="str">
        <f t="shared" si="130"/>
        <v>etymological</v>
      </c>
      <c r="E130" s="11"/>
      <c r="F130" s="2" t="str">
        <f t="shared" si="1"/>
        <v>What is the root word of the word \"gaga\"?</v>
      </c>
      <c r="G130" s="2" t="str">
        <f t="shared" si="2"/>
        <v>Ano ang salitang-ugat ng salitang \"gaga\"?</v>
      </c>
      <c r="H130" s="2" t="str">
        <f t="shared" si="3"/>
        <v>gaga</v>
      </c>
      <c r="I130" s="19" t="s">
        <v>2982</v>
      </c>
      <c r="J130" s="11" t="s">
        <v>2268</v>
      </c>
      <c r="K130" s="11" t="s">
        <v>2268</v>
      </c>
      <c r="L130" s="2" t="s">
        <v>2236</v>
      </c>
      <c r="M130" s="2" t="s">
        <v>2236</v>
      </c>
      <c r="N130" s="2" t="s">
        <v>2237</v>
      </c>
    </row>
    <row r="131" spans="1:14" ht="15" x14ac:dyDescent="0.2">
      <c r="A131" s="2" t="s">
        <v>2002</v>
      </c>
      <c r="B131" s="19" t="s">
        <v>2853</v>
      </c>
      <c r="C131" s="2" t="str">
        <f t="shared" ref="C131:D131" si="131">M131</f>
        <v>none</v>
      </c>
      <c r="D131" s="2" t="str">
        <f t="shared" si="131"/>
        <v>etymological</v>
      </c>
      <c r="E131" s="11"/>
      <c r="F131" s="2" t="str">
        <f t="shared" si="1"/>
        <v>What is the root word of the word \"pipi\"?</v>
      </c>
      <c r="G131" s="2" t="str">
        <f t="shared" si="2"/>
        <v>Ano ang salitang-ugat ng salitang \"pipi\"?</v>
      </c>
      <c r="H131" s="2" t="str">
        <f t="shared" si="3"/>
        <v>pipi</v>
      </c>
      <c r="I131" s="19" t="s">
        <v>2983</v>
      </c>
      <c r="J131" s="11" t="s">
        <v>2269</v>
      </c>
      <c r="K131" s="11" t="s">
        <v>2269</v>
      </c>
      <c r="L131" s="2" t="s">
        <v>2236</v>
      </c>
      <c r="M131" s="2" t="s">
        <v>2236</v>
      </c>
      <c r="N131" s="2" t="s">
        <v>2237</v>
      </c>
    </row>
    <row r="132" spans="1:14" ht="15" x14ac:dyDescent="0.2">
      <c r="A132" s="2" t="s">
        <v>2002</v>
      </c>
      <c r="B132" s="19" t="s">
        <v>2853</v>
      </c>
      <c r="C132" s="2" t="str">
        <f t="shared" ref="C132:D132" si="132">M132</f>
        <v>none</v>
      </c>
      <c r="D132" s="2" t="str">
        <f t="shared" si="132"/>
        <v>etymological</v>
      </c>
      <c r="E132" s="11"/>
      <c r="F132" s="2" t="str">
        <f t="shared" si="1"/>
        <v>What is the root word of the word \"kitkit\"?</v>
      </c>
      <c r="G132" s="2" t="str">
        <f t="shared" si="2"/>
        <v>Ano ang salitang-ugat ng salitang \"kitkit\"?</v>
      </c>
      <c r="H132" s="2" t="str">
        <f t="shared" si="3"/>
        <v>kitkit</v>
      </c>
      <c r="I132" s="19" t="s">
        <v>2984</v>
      </c>
      <c r="J132" s="11" t="s">
        <v>2270</v>
      </c>
      <c r="K132" s="11" t="s">
        <v>2270</v>
      </c>
      <c r="L132" s="2" t="s">
        <v>2236</v>
      </c>
      <c r="M132" s="2" t="s">
        <v>2236</v>
      </c>
      <c r="N132" s="2" t="s">
        <v>2237</v>
      </c>
    </row>
    <row r="133" spans="1:14" ht="15" x14ac:dyDescent="0.2">
      <c r="A133" s="2" t="s">
        <v>2002</v>
      </c>
      <c r="B133" s="19" t="s">
        <v>2853</v>
      </c>
      <c r="C133" s="2" t="str">
        <f t="shared" ref="C133:D133" si="133">M133</f>
        <v>none</v>
      </c>
      <c r="D133" s="2" t="str">
        <f t="shared" si="133"/>
        <v>etymological</v>
      </c>
      <c r="E133" s="11"/>
      <c r="F133" s="2" t="str">
        <f t="shared" si="1"/>
        <v>What is the root word of the word \"satsat\"?</v>
      </c>
      <c r="G133" s="2" t="str">
        <f t="shared" si="2"/>
        <v>Ano ang salitang-ugat ng salitang \"satsat\"?</v>
      </c>
      <c r="H133" s="2" t="str">
        <f t="shared" si="3"/>
        <v>satsat</v>
      </c>
      <c r="I133" s="19" t="s">
        <v>2985</v>
      </c>
      <c r="J133" s="11" t="s">
        <v>2271</v>
      </c>
      <c r="K133" s="11" t="s">
        <v>2271</v>
      </c>
      <c r="L133" s="2" t="s">
        <v>2236</v>
      </c>
      <c r="M133" s="2" t="s">
        <v>2236</v>
      </c>
      <c r="N133" s="2" t="s">
        <v>2237</v>
      </c>
    </row>
    <row r="134" spans="1:14" ht="15" x14ac:dyDescent="0.2">
      <c r="A134" s="2" t="s">
        <v>2002</v>
      </c>
      <c r="B134" s="19" t="s">
        <v>2853</v>
      </c>
      <c r="C134" s="2" t="str">
        <f t="shared" ref="C134:D134" si="134">M134</f>
        <v>none</v>
      </c>
      <c r="D134" s="2" t="str">
        <f t="shared" si="134"/>
        <v>etymological</v>
      </c>
      <c r="E134" s="11"/>
      <c r="F134" s="2" t="str">
        <f t="shared" si="1"/>
        <v>What is the root word of the word \"in-in\"?</v>
      </c>
      <c r="G134" s="2" t="str">
        <f t="shared" si="2"/>
        <v>Ano ang salitang-ugat ng salitang \"in-in\"?</v>
      </c>
      <c r="H134" s="2" t="str">
        <f t="shared" si="3"/>
        <v>in-in</v>
      </c>
      <c r="I134" s="19" t="s">
        <v>2986</v>
      </c>
      <c r="J134" s="11" t="s">
        <v>2272</v>
      </c>
      <c r="K134" s="11" t="s">
        <v>2272</v>
      </c>
      <c r="L134" s="2" t="s">
        <v>2236</v>
      </c>
      <c r="M134" s="2" t="s">
        <v>2236</v>
      </c>
      <c r="N134" s="2" t="s">
        <v>2237</v>
      </c>
    </row>
    <row r="135" spans="1:14" ht="15" x14ac:dyDescent="0.2">
      <c r="A135" s="2" t="s">
        <v>2002</v>
      </c>
      <c r="B135" s="19" t="s">
        <v>2853</v>
      </c>
      <c r="C135" s="2" t="str">
        <f t="shared" ref="C135:D135" si="135">M135</f>
        <v>none</v>
      </c>
      <c r="D135" s="2" t="str">
        <f t="shared" si="135"/>
        <v>etymological</v>
      </c>
      <c r="E135" s="11"/>
      <c r="F135" s="2" t="str">
        <f t="shared" si="1"/>
        <v>What is the root word of the word \"saysay\"?</v>
      </c>
      <c r="G135" s="2" t="str">
        <f t="shared" si="2"/>
        <v>Ano ang salitang-ugat ng salitang \"saysay\"?</v>
      </c>
      <c r="H135" s="2" t="str">
        <f t="shared" si="3"/>
        <v>saysay</v>
      </c>
      <c r="I135" s="19" t="s">
        <v>2987</v>
      </c>
      <c r="J135" s="11" t="s">
        <v>2273</v>
      </c>
      <c r="K135" s="11" t="s">
        <v>2273</v>
      </c>
      <c r="L135" s="2" t="s">
        <v>2236</v>
      </c>
      <c r="M135" s="2" t="s">
        <v>2236</v>
      </c>
      <c r="N135" s="2" t="s">
        <v>2237</v>
      </c>
    </row>
    <row r="136" spans="1:14" ht="15" x14ac:dyDescent="0.2">
      <c r="A136" s="2" t="s">
        <v>2002</v>
      </c>
      <c r="B136" s="19" t="s">
        <v>2853</v>
      </c>
      <c r="C136" s="2" t="str">
        <f t="shared" ref="C136:D136" si="136">M136</f>
        <v>none</v>
      </c>
      <c r="D136" s="2" t="str">
        <f t="shared" si="136"/>
        <v>etymological</v>
      </c>
      <c r="E136" s="11"/>
      <c r="F136" s="2" t="str">
        <f t="shared" si="1"/>
        <v>What is the root word of the word \"mamaso\"?</v>
      </c>
      <c r="G136" s="2" t="str">
        <f t="shared" si="2"/>
        <v>Ano ang salitang-ugat ng salitang \"mamaso\"?</v>
      </c>
      <c r="H136" s="2" t="str">
        <f t="shared" si="3"/>
        <v>mamaso</v>
      </c>
      <c r="I136" s="19" t="s">
        <v>2988</v>
      </c>
      <c r="J136" s="11" t="s">
        <v>2274</v>
      </c>
      <c r="K136" s="11" t="s">
        <v>2274</v>
      </c>
      <c r="L136" s="2" t="s">
        <v>2236</v>
      </c>
      <c r="M136" s="2" t="s">
        <v>2236</v>
      </c>
      <c r="N136" s="2" t="s">
        <v>2237</v>
      </c>
    </row>
    <row r="137" spans="1:14" ht="15" x14ac:dyDescent="0.2">
      <c r="A137" s="2" t="s">
        <v>2002</v>
      </c>
      <c r="B137" s="19" t="s">
        <v>2853</v>
      </c>
      <c r="C137" s="2" t="str">
        <f t="shared" ref="C137:D137" si="137">M137</f>
        <v>none</v>
      </c>
      <c r="D137" s="2" t="str">
        <f t="shared" si="137"/>
        <v>etymological</v>
      </c>
      <c r="E137" s="11"/>
      <c r="F137" s="2" t="str">
        <f t="shared" si="1"/>
        <v>What is the root word of the word \"baba\"?</v>
      </c>
      <c r="G137" s="2" t="str">
        <f t="shared" si="2"/>
        <v>Ano ang salitang-ugat ng salitang \"baba\"?</v>
      </c>
      <c r="H137" s="2" t="str">
        <f t="shared" si="3"/>
        <v>baba</v>
      </c>
      <c r="I137" s="19" t="s">
        <v>2989</v>
      </c>
      <c r="J137" s="11" t="s">
        <v>2149</v>
      </c>
      <c r="K137" s="11" t="s">
        <v>2149</v>
      </c>
      <c r="L137" s="2" t="s">
        <v>2236</v>
      </c>
      <c r="M137" s="2" t="s">
        <v>2236</v>
      </c>
      <c r="N137" s="2" t="s">
        <v>2237</v>
      </c>
    </row>
    <row r="138" spans="1:14" ht="15" x14ac:dyDescent="0.2">
      <c r="A138" s="2" t="s">
        <v>2002</v>
      </c>
      <c r="B138" s="19" t="s">
        <v>2853</v>
      </c>
      <c r="C138" s="2" t="str">
        <f t="shared" ref="C138:D138" si="138">M138</f>
        <v>none</v>
      </c>
      <c r="D138" s="2" t="str">
        <f t="shared" si="138"/>
        <v>etymological</v>
      </c>
      <c r="E138" s="11"/>
      <c r="F138" s="2" t="str">
        <f t="shared" si="1"/>
        <v>What is the root word of the word \"titig\"?</v>
      </c>
      <c r="G138" s="2" t="str">
        <f t="shared" si="2"/>
        <v>Ano ang salitang-ugat ng salitang \"titig\"?</v>
      </c>
      <c r="H138" s="2" t="str">
        <f t="shared" si="3"/>
        <v>titig</v>
      </c>
      <c r="I138" s="19" t="s">
        <v>2990</v>
      </c>
      <c r="J138" s="11" t="s">
        <v>287</v>
      </c>
      <c r="K138" s="11" t="s">
        <v>287</v>
      </c>
      <c r="L138" s="2" t="s">
        <v>2236</v>
      </c>
      <c r="M138" s="2" t="s">
        <v>2236</v>
      </c>
      <c r="N138" s="2" t="s">
        <v>2237</v>
      </c>
    </row>
    <row r="139" spans="1:14" ht="15" x14ac:dyDescent="0.2">
      <c r="A139" s="2" t="s">
        <v>2002</v>
      </c>
      <c r="B139" s="19" t="s">
        <v>2853</v>
      </c>
      <c r="C139" s="2" t="str">
        <f t="shared" ref="C139:D139" si="139">M139</f>
        <v>none</v>
      </c>
      <c r="D139" s="2" t="str">
        <f t="shared" si="139"/>
        <v>etymological</v>
      </c>
      <c r="E139" s="11"/>
      <c r="F139" s="2" t="str">
        <f t="shared" si="1"/>
        <v>What is the root word of the word \"galgal\"?</v>
      </c>
      <c r="G139" s="2" t="str">
        <f t="shared" si="2"/>
        <v>Ano ang salitang-ugat ng salitang \"galgal\"?</v>
      </c>
      <c r="H139" s="2" t="str">
        <f t="shared" si="3"/>
        <v>galgal</v>
      </c>
      <c r="I139" s="19" t="s">
        <v>2991</v>
      </c>
      <c r="J139" s="11" t="s">
        <v>2275</v>
      </c>
      <c r="K139" s="11" t="s">
        <v>2275</v>
      </c>
      <c r="L139" s="2" t="s">
        <v>2236</v>
      </c>
      <c r="M139" s="2" t="s">
        <v>2236</v>
      </c>
      <c r="N139" s="2" t="s">
        <v>2237</v>
      </c>
    </row>
    <row r="140" spans="1:14" ht="15" x14ac:dyDescent="0.2">
      <c r="A140" s="2" t="s">
        <v>2002</v>
      </c>
      <c r="B140" s="19" t="s">
        <v>2853</v>
      </c>
      <c r="C140" s="2" t="str">
        <f t="shared" ref="C140:D140" si="140">M140</f>
        <v>none</v>
      </c>
      <c r="D140" s="2" t="str">
        <f t="shared" si="140"/>
        <v>etymological</v>
      </c>
      <c r="E140" s="11"/>
      <c r="F140" s="2" t="str">
        <f t="shared" si="1"/>
        <v>What is the root word of the word \"boboto\"?</v>
      </c>
      <c r="G140" s="2" t="str">
        <f t="shared" si="2"/>
        <v>Ano ang salitang-ugat ng salitang \"boboto\"?</v>
      </c>
      <c r="H140" s="2" t="str">
        <f t="shared" si="3"/>
        <v>boboto</v>
      </c>
      <c r="I140" s="19" t="s">
        <v>2992</v>
      </c>
      <c r="J140" s="11" t="s">
        <v>2276</v>
      </c>
      <c r="K140" s="11" t="s">
        <v>2276</v>
      </c>
      <c r="L140" s="2" t="s">
        <v>2236</v>
      </c>
      <c r="M140" s="2" t="s">
        <v>2236</v>
      </c>
      <c r="N140" s="2" t="s">
        <v>2237</v>
      </c>
    </row>
    <row r="141" spans="1:14" ht="15" x14ac:dyDescent="0.2">
      <c r="A141" s="2" t="s">
        <v>2002</v>
      </c>
      <c r="B141" s="19" t="s">
        <v>2853</v>
      </c>
      <c r="C141" s="2" t="str">
        <f t="shared" ref="C141:D141" si="141">M141</f>
        <v>none</v>
      </c>
      <c r="D141" s="2" t="str">
        <f t="shared" si="141"/>
        <v>etymological</v>
      </c>
      <c r="E141" s="11"/>
      <c r="F141" s="2" t="str">
        <f t="shared" si="1"/>
        <v>What is the root word of the word \"babangan\"?</v>
      </c>
      <c r="G141" s="2" t="str">
        <f t="shared" si="2"/>
        <v>Ano ang salitang-ugat ng salitang \"babangan\"?</v>
      </c>
      <c r="H141" s="2" t="str">
        <f t="shared" si="3"/>
        <v>babangan</v>
      </c>
      <c r="I141" s="19" t="s">
        <v>2993</v>
      </c>
      <c r="J141" s="11" t="s">
        <v>2277</v>
      </c>
      <c r="K141" s="11" t="s">
        <v>2277</v>
      </c>
      <c r="L141" s="2" t="s">
        <v>2236</v>
      </c>
      <c r="M141" s="2" t="s">
        <v>2236</v>
      </c>
      <c r="N141" s="2" t="s">
        <v>2237</v>
      </c>
    </row>
    <row r="142" spans="1:14" ht="15" x14ac:dyDescent="0.2">
      <c r="A142" s="2" t="s">
        <v>2002</v>
      </c>
      <c r="B142" s="19" t="s">
        <v>2853</v>
      </c>
      <c r="C142" s="2" t="str">
        <f t="shared" ref="C142:D142" si="142">M142</f>
        <v>none</v>
      </c>
      <c r="D142" s="2" t="str">
        <f t="shared" si="142"/>
        <v>etymological</v>
      </c>
      <c r="E142" s="11"/>
      <c r="F142" s="2" t="str">
        <f t="shared" si="1"/>
        <v>What is the root word of the word \"Kankanay\"?</v>
      </c>
      <c r="G142" s="2" t="str">
        <f t="shared" si="2"/>
        <v>Ano ang salitang-ugat ng salitang \"Kankanay\"?</v>
      </c>
      <c r="H142" s="2" t="str">
        <f t="shared" si="3"/>
        <v>Kankanay</v>
      </c>
      <c r="I142" s="19" t="s">
        <v>2994</v>
      </c>
      <c r="J142" s="11" t="s">
        <v>2278</v>
      </c>
      <c r="K142" s="11" t="s">
        <v>2278</v>
      </c>
      <c r="L142" s="2" t="s">
        <v>2236</v>
      </c>
      <c r="M142" s="2" t="s">
        <v>2236</v>
      </c>
      <c r="N142" s="2" t="s">
        <v>2237</v>
      </c>
    </row>
    <row r="143" spans="1:14" ht="15" x14ac:dyDescent="0.2">
      <c r="A143" s="2" t="s">
        <v>2002</v>
      </c>
      <c r="B143" s="19" t="s">
        <v>2853</v>
      </c>
      <c r="C143" s="2" t="str">
        <f t="shared" ref="C143:D143" si="143">M143</f>
        <v>none</v>
      </c>
      <c r="D143" s="2" t="str">
        <f t="shared" si="143"/>
        <v>etymological</v>
      </c>
      <c r="E143" s="11"/>
      <c r="F143" s="2" t="str">
        <f t="shared" si="1"/>
        <v>What is the root word of the word \"tatagan\"?</v>
      </c>
      <c r="G143" s="2" t="str">
        <f t="shared" si="2"/>
        <v>Ano ang salitang-ugat ng salitang \"tatagan\"?</v>
      </c>
      <c r="H143" s="2" t="str">
        <f t="shared" si="3"/>
        <v>tatagan</v>
      </c>
      <c r="I143" s="19" t="s">
        <v>2995</v>
      </c>
      <c r="J143" s="11" t="s">
        <v>2279</v>
      </c>
      <c r="K143" s="11" t="s">
        <v>2279</v>
      </c>
      <c r="L143" s="2" t="s">
        <v>2236</v>
      </c>
      <c r="M143" s="2" t="s">
        <v>2236</v>
      </c>
      <c r="N143" s="2" t="s">
        <v>2237</v>
      </c>
    </row>
    <row r="144" spans="1:14" ht="15" x14ac:dyDescent="0.2">
      <c r="A144" s="2" t="s">
        <v>2002</v>
      </c>
      <c r="B144" s="19" t="s">
        <v>2853</v>
      </c>
      <c r="C144" s="2" t="str">
        <f t="shared" ref="C144:D144" si="144">M144</f>
        <v>none</v>
      </c>
      <c r="D144" s="2" t="str">
        <f t="shared" si="144"/>
        <v>etymological</v>
      </c>
      <c r="E144" s="11"/>
      <c r="F144" s="2" t="str">
        <f t="shared" si="1"/>
        <v>What is the root word of the word \"pikpik\"?</v>
      </c>
      <c r="G144" s="2" t="str">
        <f t="shared" si="2"/>
        <v>Ano ang salitang-ugat ng salitang \"pikpik\"?</v>
      </c>
      <c r="H144" s="2" t="str">
        <f t="shared" si="3"/>
        <v>pikpik</v>
      </c>
      <c r="I144" s="19" t="s">
        <v>2996</v>
      </c>
      <c r="J144" s="11" t="s">
        <v>2280</v>
      </c>
      <c r="K144" s="11" t="s">
        <v>2280</v>
      </c>
      <c r="L144" s="2" t="s">
        <v>2236</v>
      </c>
      <c r="M144" s="2" t="s">
        <v>2236</v>
      </c>
      <c r="N144" s="2" t="s">
        <v>2237</v>
      </c>
    </row>
    <row r="145" spans="1:14" ht="15" x14ac:dyDescent="0.2">
      <c r="A145" s="2" t="s">
        <v>2002</v>
      </c>
      <c r="B145" s="19" t="s">
        <v>2853</v>
      </c>
      <c r="C145" s="2" t="str">
        <f t="shared" ref="C145:D145" si="145">M145</f>
        <v>none</v>
      </c>
      <c r="D145" s="2" t="str">
        <f t="shared" si="145"/>
        <v>etymological</v>
      </c>
      <c r="E145" s="11"/>
      <c r="F145" s="2" t="str">
        <f t="shared" si="1"/>
        <v>What is the root word of the word \"tata\"?</v>
      </c>
      <c r="G145" s="2" t="str">
        <f t="shared" si="2"/>
        <v>Ano ang salitang-ugat ng salitang \"tata\"?</v>
      </c>
      <c r="H145" s="2" t="str">
        <f t="shared" si="3"/>
        <v>tata</v>
      </c>
      <c r="I145" s="19" t="s">
        <v>2997</v>
      </c>
      <c r="J145" s="11" t="s">
        <v>2281</v>
      </c>
      <c r="K145" s="11" t="s">
        <v>2281</v>
      </c>
      <c r="L145" s="2" t="s">
        <v>2236</v>
      </c>
      <c r="M145" s="2" t="s">
        <v>2236</v>
      </c>
      <c r="N145" s="2" t="s">
        <v>2237</v>
      </c>
    </row>
    <row r="146" spans="1:14" ht="15" x14ac:dyDescent="0.2">
      <c r="A146" s="2" t="s">
        <v>2002</v>
      </c>
      <c r="B146" s="19" t="s">
        <v>2853</v>
      </c>
      <c r="C146" s="2" t="str">
        <f t="shared" ref="C146:D146" si="146">M146</f>
        <v>none</v>
      </c>
      <c r="D146" s="2" t="str">
        <f t="shared" si="146"/>
        <v>etymological</v>
      </c>
      <c r="E146" s="11"/>
      <c r="F146" s="2" t="str">
        <f t="shared" si="1"/>
        <v>What is the root word of the word \"lalakinin\"?</v>
      </c>
      <c r="G146" s="2" t="str">
        <f t="shared" si="2"/>
        <v>Ano ang salitang-ugat ng salitang \"lalakinin\"?</v>
      </c>
      <c r="H146" s="2" t="str">
        <f t="shared" si="3"/>
        <v>lalakinin</v>
      </c>
      <c r="I146" s="19" t="s">
        <v>2998</v>
      </c>
      <c r="J146" s="11" t="s">
        <v>2282</v>
      </c>
      <c r="K146" s="11" t="s">
        <v>2282</v>
      </c>
      <c r="L146" s="2" t="s">
        <v>2236</v>
      </c>
      <c r="M146" s="2" t="s">
        <v>2236</v>
      </c>
      <c r="N146" s="2" t="s">
        <v>2237</v>
      </c>
    </row>
    <row r="147" spans="1:14" ht="15" x14ac:dyDescent="0.2">
      <c r="A147" s="2" t="s">
        <v>2002</v>
      </c>
      <c r="B147" s="19" t="s">
        <v>2853</v>
      </c>
      <c r="C147" s="2" t="str">
        <f t="shared" ref="C147:D147" si="147">M147</f>
        <v>none</v>
      </c>
      <c r="D147" s="2" t="str">
        <f t="shared" si="147"/>
        <v>etymological</v>
      </c>
      <c r="E147" s="11"/>
      <c r="F147" s="2" t="str">
        <f t="shared" si="1"/>
        <v>What is the root word of the word \"witwit\"?</v>
      </c>
      <c r="G147" s="2" t="str">
        <f t="shared" si="2"/>
        <v>Ano ang salitang-ugat ng salitang \"witwit\"?</v>
      </c>
      <c r="H147" s="2" t="str">
        <f t="shared" si="3"/>
        <v>witwit</v>
      </c>
      <c r="I147" s="19" t="s">
        <v>2999</v>
      </c>
      <c r="J147" s="11" t="s">
        <v>2283</v>
      </c>
      <c r="K147" s="11" t="s">
        <v>2283</v>
      </c>
      <c r="L147" s="2" t="s">
        <v>2236</v>
      </c>
      <c r="M147" s="2" t="s">
        <v>2236</v>
      </c>
      <c r="N147" s="2" t="s">
        <v>2237</v>
      </c>
    </row>
    <row r="148" spans="1:14" ht="15" x14ac:dyDescent="0.2">
      <c r="A148" s="2" t="s">
        <v>2002</v>
      </c>
      <c r="B148" s="19" t="s">
        <v>2853</v>
      </c>
      <c r="C148" s="2" t="str">
        <f t="shared" ref="C148:D148" si="148">M148</f>
        <v>none</v>
      </c>
      <c r="D148" s="2" t="str">
        <f t="shared" si="148"/>
        <v>etymological</v>
      </c>
      <c r="E148" s="11"/>
      <c r="F148" s="2" t="str">
        <f t="shared" si="1"/>
        <v>What is the root word of the word \"as-as\"?</v>
      </c>
      <c r="G148" s="2" t="str">
        <f t="shared" si="2"/>
        <v>Ano ang salitang-ugat ng salitang \"as-as\"?</v>
      </c>
      <c r="H148" s="2" t="str">
        <f t="shared" si="3"/>
        <v>as-as</v>
      </c>
      <c r="I148" s="19" t="s">
        <v>3000</v>
      </c>
      <c r="J148" s="11" t="s">
        <v>2284</v>
      </c>
      <c r="K148" s="11" t="s">
        <v>2284</v>
      </c>
      <c r="L148" s="2" t="s">
        <v>2236</v>
      </c>
      <c r="M148" s="2" t="s">
        <v>2236</v>
      </c>
      <c r="N148" s="2" t="s">
        <v>2237</v>
      </c>
    </row>
    <row r="149" spans="1:14" ht="15" x14ac:dyDescent="0.2">
      <c r="A149" s="2" t="s">
        <v>2002</v>
      </c>
      <c r="B149" s="19" t="s">
        <v>2853</v>
      </c>
      <c r="C149" s="2" t="str">
        <f t="shared" ref="C149:D149" si="149">M149</f>
        <v>none</v>
      </c>
      <c r="D149" s="2" t="str">
        <f t="shared" si="149"/>
        <v>etymological</v>
      </c>
      <c r="E149" s="11"/>
      <c r="F149" s="2" t="str">
        <f t="shared" si="1"/>
        <v>What is the root word of the word \"kalkal\"?</v>
      </c>
      <c r="G149" s="2" t="str">
        <f t="shared" si="2"/>
        <v>Ano ang salitang-ugat ng salitang \"kalkal\"?</v>
      </c>
      <c r="H149" s="2" t="str">
        <f t="shared" si="3"/>
        <v>kalkal</v>
      </c>
      <c r="I149" s="19" t="s">
        <v>3001</v>
      </c>
      <c r="J149" s="11" t="s">
        <v>2285</v>
      </c>
      <c r="K149" s="11" t="s">
        <v>2285</v>
      </c>
      <c r="L149" s="2" t="s">
        <v>2236</v>
      </c>
      <c r="M149" s="2" t="s">
        <v>2236</v>
      </c>
      <c r="N149" s="2" t="s">
        <v>2237</v>
      </c>
    </row>
    <row r="150" spans="1:14" ht="15" x14ac:dyDescent="0.2">
      <c r="A150" s="2" t="s">
        <v>2002</v>
      </c>
      <c r="B150" s="19" t="s">
        <v>2853</v>
      </c>
      <c r="C150" s="2" t="str">
        <f t="shared" ref="C150:D150" si="150">M150</f>
        <v>none</v>
      </c>
      <c r="D150" s="2" t="str">
        <f t="shared" si="150"/>
        <v>etymological</v>
      </c>
      <c r="E150" s="11"/>
      <c r="F150" s="2" t="str">
        <f t="shared" si="1"/>
        <v>What is the root word of the word \"wangwang\"?</v>
      </c>
      <c r="G150" s="2" t="str">
        <f t="shared" si="2"/>
        <v>Ano ang salitang-ugat ng salitang \"wangwang\"?</v>
      </c>
      <c r="H150" s="2" t="str">
        <f t="shared" si="3"/>
        <v>wangwang</v>
      </c>
      <c r="I150" s="19" t="s">
        <v>3002</v>
      </c>
      <c r="J150" s="11" t="s">
        <v>2286</v>
      </c>
      <c r="K150" s="11" t="s">
        <v>2286</v>
      </c>
      <c r="L150" s="2" t="s">
        <v>2236</v>
      </c>
      <c r="M150" s="2" t="s">
        <v>2236</v>
      </c>
      <c r="N150" s="2" t="s">
        <v>2237</v>
      </c>
    </row>
    <row r="151" spans="1:14" ht="15" x14ac:dyDescent="0.2">
      <c r="A151" s="2" t="s">
        <v>2002</v>
      </c>
      <c r="B151" s="19" t="s">
        <v>2853</v>
      </c>
      <c r="C151" s="2" t="str">
        <f t="shared" ref="C151:D151" si="151">M151</f>
        <v>none</v>
      </c>
      <c r="D151" s="2" t="str">
        <f t="shared" si="151"/>
        <v>etymological</v>
      </c>
      <c r="E151" s="11"/>
      <c r="F151" s="2" t="str">
        <f t="shared" si="1"/>
        <v>What is the root word of the word \"bagbag\"?</v>
      </c>
      <c r="G151" s="2" t="str">
        <f t="shared" si="2"/>
        <v>Ano ang salitang-ugat ng salitang \"bagbag\"?</v>
      </c>
      <c r="H151" s="2" t="str">
        <f t="shared" si="3"/>
        <v>bagbag</v>
      </c>
      <c r="I151" s="19" t="s">
        <v>3003</v>
      </c>
      <c r="J151" s="11" t="s">
        <v>2287</v>
      </c>
      <c r="K151" s="11" t="s">
        <v>2287</v>
      </c>
      <c r="L151" s="2" t="s">
        <v>2236</v>
      </c>
      <c r="M151" s="2" t="s">
        <v>2236</v>
      </c>
      <c r="N151" s="2" t="s">
        <v>2237</v>
      </c>
    </row>
    <row r="152" spans="1:14" ht="15" x14ac:dyDescent="0.2">
      <c r="A152" s="2" t="s">
        <v>2002</v>
      </c>
      <c r="B152" s="19" t="s">
        <v>2853</v>
      </c>
      <c r="C152" s="2" t="str">
        <f t="shared" ref="C152:D152" si="152">M152</f>
        <v>none</v>
      </c>
      <c r="D152" s="2" t="str">
        <f t="shared" si="152"/>
        <v>etymological</v>
      </c>
      <c r="E152" s="11"/>
      <c r="F152" s="2" t="str">
        <f t="shared" si="1"/>
        <v>What is the root word of the word \"hawhaw\"?</v>
      </c>
      <c r="G152" s="2" t="str">
        <f t="shared" si="2"/>
        <v>Ano ang salitang-ugat ng salitang \"hawhaw\"?</v>
      </c>
      <c r="H152" s="2" t="str">
        <f t="shared" si="3"/>
        <v>hawhaw</v>
      </c>
      <c r="I152" s="19" t="s">
        <v>3004</v>
      </c>
      <c r="J152" s="11" t="s">
        <v>2288</v>
      </c>
      <c r="K152" s="11" t="s">
        <v>2288</v>
      </c>
      <c r="L152" s="2" t="s">
        <v>2236</v>
      </c>
      <c r="M152" s="2" t="s">
        <v>2236</v>
      </c>
      <c r="N152" s="2" t="s">
        <v>2237</v>
      </c>
    </row>
    <row r="153" spans="1:14" ht="15" x14ac:dyDescent="0.2">
      <c r="A153" s="2" t="s">
        <v>2002</v>
      </c>
      <c r="B153" s="19" t="s">
        <v>2853</v>
      </c>
      <c r="C153" s="2" t="str">
        <f t="shared" ref="C153:D153" si="153">M153</f>
        <v>none</v>
      </c>
      <c r="D153" s="2" t="str">
        <f t="shared" si="153"/>
        <v>etymological</v>
      </c>
      <c r="E153" s="11"/>
      <c r="F153" s="2" t="str">
        <f t="shared" si="1"/>
        <v>What is the root word of the word \"dibdib\"?</v>
      </c>
      <c r="G153" s="2" t="str">
        <f t="shared" si="2"/>
        <v>Ano ang salitang-ugat ng salitang \"dibdib\"?</v>
      </c>
      <c r="H153" s="2" t="str">
        <f t="shared" si="3"/>
        <v>dibdib</v>
      </c>
      <c r="I153" s="19" t="s">
        <v>3005</v>
      </c>
      <c r="J153" s="11" t="s">
        <v>2289</v>
      </c>
      <c r="K153" s="11" t="s">
        <v>2289</v>
      </c>
      <c r="L153" s="2" t="s">
        <v>2236</v>
      </c>
      <c r="M153" s="2" t="s">
        <v>2236</v>
      </c>
      <c r="N153" s="2" t="s">
        <v>2237</v>
      </c>
    </row>
    <row r="154" spans="1:14" ht="15" x14ac:dyDescent="0.2">
      <c r="A154" s="2" t="s">
        <v>2002</v>
      </c>
      <c r="B154" s="19" t="s">
        <v>2853</v>
      </c>
      <c r="C154" s="2" t="str">
        <f t="shared" ref="C154:D154" si="154">M154</f>
        <v>none</v>
      </c>
      <c r="D154" s="2" t="str">
        <f t="shared" si="154"/>
        <v>etymological</v>
      </c>
      <c r="E154" s="11"/>
      <c r="F154" s="2" t="str">
        <f t="shared" si="1"/>
        <v>What is the root word of the word \"papa\"?</v>
      </c>
      <c r="G154" s="2" t="str">
        <f t="shared" si="2"/>
        <v>Ano ang salitang-ugat ng salitang \"papa\"?</v>
      </c>
      <c r="H154" s="2" t="str">
        <f t="shared" si="3"/>
        <v>papa</v>
      </c>
      <c r="I154" s="19" t="s">
        <v>3006</v>
      </c>
      <c r="J154" s="11" t="s">
        <v>2290</v>
      </c>
      <c r="K154" s="11" t="s">
        <v>2290</v>
      </c>
      <c r="L154" s="2" t="s">
        <v>2236</v>
      </c>
      <c r="M154" s="2" t="s">
        <v>2236</v>
      </c>
      <c r="N154" s="2" t="s">
        <v>2237</v>
      </c>
    </row>
    <row r="155" spans="1:14" ht="15" x14ac:dyDescent="0.2">
      <c r="A155" s="2" t="s">
        <v>2002</v>
      </c>
      <c r="B155" s="19" t="s">
        <v>2853</v>
      </c>
      <c r="C155" s="2" t="str">
        <f t="shared" ref="C155:D155" si="155">M155</f>
        <v>none</v>
      </c>
      <c r="D155" s="2" t="str">
        <f t="shared" si="155"/>
        <v>etymological</v>
      </c>
      <c r="E155" s="11"/>
      <c r="F155" s="2" t="str">
        <f t="shared" si="1"/>
        <v>What is the root word of the word \"gagamba\"?</v>
      </c>
      <c r="G155" s="2" t="str">
        <f t="shared" si="2"/>
        <v>Ano ang salitang-ugat ng salitang \"gagamba\"?</v>
      </c>
      <c r="H155" s="2" t="str">
        <f t="shared" si="3"/>
        <v>gagamba</v>
      </c>
      <c r="I155" s="19" t="s">
        <v>3007</v>
      </c>
      <c r="J155" s="11" t="s">
        <v>2291</v>
      </c>
      <c r="K155" s="11" t="s">
        <v>2291</v>
      </c>
      <c r="L155" s="2" t="s">
        <v>2236</v>
      </c>
      <c r="M155" s="2" t="s">
        <v>2236</v>
      </c>
      <c r="N155" s="2" t="s">
        <v>2237</v>
      </c>
    </row>
    <row r="156" spans="1:14" ht="15" x14ac:dyDescent="0.2">
      <c r="A156" s="2" t="s">
        <v>2002</v>
      </c>
      <c r="B156" s="19" t="s">
        <v>2853</v>
      </c>
      <c r="C156" s="2" t="str">
        <f t="shared" ref="C156:D156" si="156">M156</f>
        <v>none</v>
      </c>
      <c r="D156" s="2" t="str">
        <f t="shared" si="156"/>
        <v>etymological</v>
      </c>
      <c r="E156" s="11"/>
      <c r="F156" s="2" t="str">
        <f t="shared" si="1"/>
        <v>What is the root word of the word \"tabtaba\"?</v>
      </c>
      <c r="G156" s="2" t="str">
        <f t="shared" si="2"/>
        <v>Ano ang salitang-ugat ng salitang \"tabtaba\"?</v>
      </c>
      <c r="H156" s="2" t="str">
        <f t="shared" si="3"/>
        <v>tabtaba</v>
      </c>
      <c r="I156" s="19" t="s">
        <v>3008</v>
      </c>
      <c r="J156" s="11" t="s">
        <v>2292</v>
      </c>
      <c r="K156" s="11" t="s">
        <v>2292</v>
      </c>
      <c r="L156" s="2" t="s">
        <v>2236</v>
      </c>
      <c r="M156" s="2" t="s">
        <v>2236</v>
      </c>
      <c r="N156" s="2" t="s">
        <v>2237</v>
      </c>
    </row>
    <row r="157" spans="1:14" ht="15" x14ac:dyDescent="0.2">
      <c r="A157" s="2" t="s">
        <v>2002</v>
      </c>
      <c r="B157" s="19" t="s">
        <v>2853</v>
      </c>
      <c r="C157" s="2" t="str">
        <f t="shared" ref="C157:D157" si="157">M157</f>
        <v>none</v>
      </c>
      <c r="D157" s="2" t="str">
        <f t="shared" si="157"/>
        <v>etymological</v>
      </c>
      <c r="E157" s="11"/>
      <c r="F157" s="2" t="str">
        <f t="shared" si="1"/>
        <v>What is the root word of the word \"gasgas\"?</v>
      </c>
      <c r="G157" s="2" t="str">
        <f t="shared" si="2"/>
        <v>Ano ang salitang-ugat ng salitang \"gasgas\"?</v>
      </c>
      <c r="H157" s="2" t="str">
        <f t="shared" si="3"/>
        <v>gasgas</v>
      </c>
      <c r="I157" s="19" t="s">
        <v>3009</v>
      </c>
      <c r="J157" s="11" t="s">
        <v>2293</v>
      </c>
      <c r="K157" s="11" t="s">
        <v>2293</v>
      </c>
      <c r="L157" s="2" t="s">
        <v>2236</v>
      </c>
      <c r="M157" s="2" t="s">
        <v>2236</v>
      </c>
      <c r="N157" s="2" t="s">
        <v>2237</v>
      </c>
    </row>
    <row r="158" spans="1:14" ht="15" x14ac:dyDescent="0.2">
      <c r="A158" s="2" t="s">
        <v>2002</v>
      </c>
      <c r="B158" s="19" t="s">
        <v>2853</v>
      </c>
      <c r="C158" s="2" t="str">
        <f t="shared" ref="C158:D158" si="158">M158</f>
        <v>none</v>
      </c>
      <c r="D158" s="2" t="str">
        <f t="shared" si="158"/>
        <v>etymological</v>
      </c>
      <c r="E158" s="11"/>
      <c r="F158" s="2" t="str">
        <f t="shared" si="1"/>
        <v>What is the root word of the word \"dangdang\"?</v>
      </c>
      <c r="G158" s="2" t="str">
        <f t="shared" si="2"/>
        <v>Ano ang salitang-ugat ng salitang \"dangdang\"?</v>
      </c>
      <c r="H158" s="2" t="str">
        <f t="shared" si="3"/>
        <v>dangdang</v>
      </c>
      <c r="I158" s="19" t="s">
        <v>3010</v>
      </c>
      <c r="J158" s="11" t="s">
        <v>2294</v>
      </c>
      <c r="K158" s="11" t="s">
        <v>2294</v>
      </c>
      <c r="L158" s="2" t="s">
        <v>2236</v>
      </c>
      <c r="M158" s="2" t="s">
        <v>2236</v>
      </c>
      <c r="N158" s="2" t="s">
        <v>2237</v>
      </c>
    </row>
    <row r="159" spans="1:14" ht="15" x14ac:dyDescent="0.2">
      <c r="A159" s="2" t="s">
        <v>2002</v>
      </c>
      <c r="B159" s="19" t="s">
        <v>2853</v>
      </c>
      <c r="C159" s="2" t="str">
        <f t="shared" ref="C159:D159" si="159">M159</f>
        <v>none</v>
      </c>
      <c r="D159" s="2" t="str">
        <f t="shared" si="159"/>
        <v>etymological</v>
      </c>
      <c r="E159" s="11"/>
      <c r="F159" s="2" t="str">
        <f t="shared" si="1"/>
        <v>What is the root word of the word \"nana\"?</v>
      </c>
      <c r="G159" s="2" t="str">
        <f t="shared" si="2"/>
        <v>Ano ang salitang-ugat ng salitang \"nana\"?</v>
      </c>
      <c r="H159" s="2" t="str">
        <f t="shared" si="3"/>
        <v>nana</v>
      </c>
      <c r="I159" s="19" t="s">
        <v>3011</v>
      </c>
      <c r="J159" s="11" t="s">
        <v>2295</v>
      </c>
      <c r="K159" s="11" t="s">
        <v>2295</v>
      </c>
      <c r="L159" s="2" t="s">
        <v>2236</v>
      </c>
      <c r="M159" s="2" t="s">
        <v>2236</v>
      </c>
      <c r="N159" s="2" t="s">
        <v>2237</v>
      </c>
    </row>
    <row r="160" spans="1:14" ht="15" x14ac:dyDescent="0.2">
      <c r="A160" s="2" t="s">
        <v>2002</v>
      </c>
      <c r="B160" s="19" t="s">
        <v>2853</v>
      </c>
      <c r="C160" s="2" t="str">
        <f t="shared" ref="C160:D160" si="160">M160</f>
        <v>none</v>
      </c>
      <c r="D160" s="2" t="str">
        <f t="shared" si="160"/>
        <v>etymological</v>
      </c>
      <c r="E160" s="11"/>
      <c r="F160" s="2" t="str">
        <f t="shared" si="1"/>
        <v>What is the root word of the word \"lalangan\"?</v>
      </c>
      <c r="G160" s="2" t="str">
        <f t="shared" si="2"/>
        <v>Ano ang salitang-ugat ng salitang \"lalangan\"?</v>
      </c>
      <c r="H160" s="2" t="str">
        <f t="shared" si="3"/>
        <v>lalangan</v>
      </c>
      <c r="I160" s="19" t="s">
        <v>3012</v>
      </c>
      <c r="J160" s="11" t="s">
        <v>2296</v>
      </c>
      <c r="K160" s="11" t="s">
        <v>2296</v>
      </c>
      <c r="L160" s="2" t="s">
        <v>2236</v>
      </c>
      <c r="M160" s="2" t="s">
        <v>2236</v>
      </c>
      <c r="N160" s="2" t="s">
        <v>2237</v>
      </c>
    </row>
    <row r="161" spans="1:14" ht="15" x14ac:dyDescent="0.2">
      <c r="A161" s="2" t="s">
        <v>2002</v>
      </c>
      <c r="B161" s="19" t="s">
        <v>2853</v>
      </c>
      <c r="C161" s="2" t="str">
        <f t="shared" ref="C161:D161" si="161">M161</f>
        <v>none</v>
      </c>
      <c r="D161" s="2" t="str">
        <f t="shared" si="161"/>
        <v>etymological</v>
      </c>
      <c r="E161" s="11"/>
      <c r="F161" s="2" t="str">
        <f t="shared" si="1"/>
        <v>What is the root word of the word \"gargaran\"?</v>
      </c>
      <c r="G161" s="2" t="str">
        <f t="shared" si="2"/>
        <v>Ano ang salitang-ugat ng salitang \"gargaran\"?</v>
      </c>
      <c r="H161" s="2" t="str">
        <f t="shared" si="3"/>
        <v>gargaran</v>
      </c>
      <c r="I161" s="19" t="s">
        <v>3013</v>
      </c>
      <c r="J161" s="11" t="s">
        <v>2297</v>
      </c>
      <c r="K161" s="11" t="s">
        <v>2297</v>
      </c>
      <c r="L161" s="2" t="s">
        <v>2236</v>
      </c>
      <c r="M161" s="2" t="s">
        <v>2236</v>
      </c>
      <c r="N161" s="2" t="s">
        <v>2237</v>
      </c>
    </row>
    <row r="162" spans="1:14" ht="15" x14ac:dyDescent="0.2">
      <c r="A162" s="2" t="s">
        <v>2002</v>
      </c>
      <c r="B162" s="19" t="s">
        <v>2853</v>
      </c>
      <c r="C162" s="2" t="str">
        <f t="shared" ref="C162:D162" si="162">M162</f>
        <v>none</v>
      </c>
      <c r="D162" s="2" t="str">
        <f t="shared" si="162"/>
        <v>etymological</v>
      </c>
      <c r="E162" s="11"/>
      <c r="F162" s="2" t="str">
        <f t="shared" si="1"/>
        <v>What is the root word of the word \"borbor\"?</v>
      </c>
      <c r="G162" s="2" t="str">
        <f t="shared" si="2"/>
        <v>Ano ang salitang-ugat ng salitang \"borbor\"?</v>
      </c>
      <c r="H162" s="2" t="str">
        <f t="shared" si="3"/>
        <v>borbor</v>
      </c>
      <c r="I162" s="19" t="s">
        <v>3014</v>
      </c>
      <c r="J162" s="11" t="s">
        <v>2298</v>
      </c>
      <c r="K162" s="11" t="s">
        <v>2298</v>
      </c>
      <c r="L162" s="2" t="s">
        <v>2236</v>
      </c>
      <c r="M162" s="2" t="s">
        <v>2236</v>
      </c>
      <c r="N162" s="2" t="s">
        <v>2237</v>
      </c>
    </row>
    <row r="163" spans="1:14" ht="15" x14ac:dyDescent="0.2">
      <c r="A163" s="2" t="s">
        <v>2002</v>
      </c>
      <c r="B163" s="19" t="s">
        <v>2853</v>
      </c>
      <c r="C163" s="2" t="str">
        <f t="shared" ref="C163:D163" si="163">M163</f>
        <v>none</v>
      </c>
      <c r="D163" s="2" t="str">
        <f t="shared" si="163"/>
        <v>etymological</v>
      </c>
      <c r="E163" s="11"/>
      <c r="F163" s="2" t="str">
        <f t="shared" si="1"/>
        <v>What is the root word of the word \"sosoan\"?</v>
      </c>
      <c r="G163" s="2" t="str">
        <f t="shared" si="2"/>
        <v>Ano ang salitang-ugat ng salitang \"sosoan\"?</v>
      </c>
      <c r="H163" s="2" t="str">
        <f t="shared" si="3"/>
        <v>sosoan</v>
      </c>
      <c r="I163" s="19" t="s">
        <v>3015</v>
      </c>
      <c r="J163" s="11" t="s">
        <v>2299</v>
      </c>
      <c r="K163" s="11" t="s">
        <v>2299</v>
      </c>
      <c r="L163" s="2" t="s">
        <v>2236</v>
      </c>
      <c r="M163" s="2" t="s">
        <v>2236</v>
      </c>
      <c r="N163" s="2" t="s">
        <v>2237</v>
      </c>
    </row>
    <row r="164" spans="1:14" ht="15" x14ac:dyDescent="0.2">
      <c r="A164" s="2" t="s">
        <v>2002</v>
      </c>
      <c r="B164" s="19" t="s">
        <v>2853</v>
      </c>
      <c r="C164" s="2" t="str">
        <f t="shared" ref="C164:D164" si="164">M164</f>
        <v>none</v>
      </c>
      <c r="D164" s="2" t="str">
        <f t="shared" si="164"/>
        <v>etymological</v>
      </c>
      <c r="E164" s="11"/>
      <c r="F164" s="2" t="str">
        <f t="shared" si="1"/>
        <v>What is the root word of the word \"maymay\"?</v>
      </c>
      <c r="G164" s="2" t="str">
        <f t="shared" si="2"/>
        <v>Ano ang salitang-ugat ng salitang \"maymay\"?</v>
      </c>
      <c r="H164" s="2" t="str">
        <f t="shared" si="3"/>
        <v>maymay</v>
      </c>
      <c r="I164" s="19" t="s">
        <v>3016</v>
      </c>
      <c r="J164" s="11" t="s">
        <v>2300</v>
      </c>
      <c r="K164" s="11" t="s">
        <v>2300</v>
      </c>
      <c r="L164" s="2" t="s">
        <v>2236</v>
      </c>
      <c r="M164" s="2" t="s">
        <v>2236</v>
      </c>
      <c r="N164" s="2" t="s">
        <v>2237</v>
      </c>
    </row>
    <row r="165" spans="1:14" ht="15" x14ac:dyDescent="0.2">
      <c r="A165" s="2" t="s">
        <v>2002</v>
      </c>
      <c r="B165" s="19" t="s">
        <v>2853</v>
      </c>
      <c r="C165" s="2" t="str">
        <f t="shared" ref="C165:D165" si="165">M165</f>
        <v>none</v>
      </c>
      <c r="D165" s="2" t="str">
        <f t="shared" si="165"/>
        <v>etymological</v>
      </c>
      <c r="E165" s="11"/>
      <c r="F165" s="2" t="str">
        <f t="shared" si="1"/>
        <v>What is the root word of the word \"sasa\"?</v>
      </c>
      <c r="G165" s="2" t="str">
        <f t="shared" si="2"/>
        <v>Ano ang salitang-ugat ng salitang \"sasa\"?</v>
      </c>
      <c r="H165" s="2" t="str">
        <f t="shared" si="3"/>
        <v>sasa</v>
      </c>
      <c r="I165" s="19" t="s">
        <v>3017</v>
      </c>
      <c r="J165" s="11" t="s">
        <v>2301</v>
      </c>
      <c r="K165" s="11" t="s">
        <v>2301</v>
      </c>
      <c r="L165" s="2" t="s">
        <v>2236</v>
      </c>
      <c r="M165" s="2" t="s">
        <v>2236</v>
      </c>
      <c r="N165" s="2" t="s">
        <v>2237</v>
      </c>
    </row>
    <row r="166" spans="1:14" ht="15" x14ac:dyDescent="0.2">
      <c r="A166" s="2" t="s">
        <v>2002</v>
      </c>
      <c r="B166" s="19" t="s">
        <v>2853</v>
      </c>
      <c r="C166" s="2" t="str">
        <f t="shared" ref="C166:D166" si="166">M166</f>
        <v>none</v>
      </c>
      <c r="D166" s="2" t="str">
        <f t="shared" si="166"/>
        <v>etymological</v>
      </c>
      <c r="E166" s="11"/>
      <c r="F166" s="2" t="str">
        <f t="shared" si="1"/>
        <v>What is the root word of the word \"bibihira\"?</v>
      </c>
      <c r="G166" s="2" t="str">
        <f t="shared" si="2"/>
        <v>Ano ang salitang-ugat ng salitang \"bibihira\"?</v>
      </c>
      <c r="H166" s="2" t="str">
        <f t="shared" si="3"/>
        <v>bibihira</v>
      </c>
      <c r="I166" s="19" t="s">
        <v>3018</v>
      </c>
      <c r="J166" s="11" t="s">
        <v>2302</v>
      </c>
      <c r="K166" s="11" t="s">
        <v>2302</v>
      </c>
      <c r="L166" s="2" t="s">
        <v>2236</v>
      </c>
      <c r="M166" s="2" t="s">
        <v>2236</v>
      </c>
      <c r="N166" s="2" t="s">
        <v>2237</v>
      </c>
    </row>
    <row r="167" spans="1:14" ht="15" x14ac:dyDescent="0.2">
      <c r="A167" s="2" t="s">
        <v>2002</v>
      </c>
      <c r="B167" s="19" t="s">
        <v>2853</v>
      </c>
      <c r="C167" s="2" t="str">
        <f t="shared" ref="C167:D167" si="167">M167</f>
        <v>none</v>
      </c>
      <c r="D167" s="2" t="str">
        <f t="shared" si="167"/>
        <v>etymological</v>
      </c>
      <c r="E167" s="11"/>
      <c r="F167" s="2" t="str">
        <f t="shared" si="1"/>
        <v>What is the root word of the word \"papag\"?</v>
      </c>
      <c r="G167" s="2" t="str">
        <f t="shared" si="2"/>
        <v>Ano ang salitang-ugat ng salitang \"papag\"?</v>
      </c>
      <c r="H167" s="2" t="str">
        <f t="shared" si="3"/>
        <v>papag</v>
      </c>
      <c r="I167" s="19" t="s">
        <v>3019</v>
      </c>
      <c r="J167" s="11" t="s">
        <v>2303</v>
      </c>
      <c r="K167" s="11" t="s">
        <v>2303</v>
      </c>
      <c r="L167" s="2" t="s">
        <v>2236</v>
      </c>
      <c r="M167" s="2" t="s">
        <v>2236</v>
      </c>
      <c r="N167" s="2" t="s">
        <v>2237</v>
      </c>
    </row>
    <row r="168" spans="1:14" ht="15" x14ac:dyDescent="0.2">
      <c r="A168" s="2" t="s">
        <v>2002</v>
      </c>
      <c r="B168" s="19" t="s">
        <v>2853</v>
      </c>
      <c r="C168" s="2" t="str">
        <f t="shared" ref="C168:D168" si="168">M168</f>
        <v>none</v>
      </c>
      <c r="D168" s="2" t="str">
        <f t="shared" si="168"/>
        <v>etymological</v>
      </c>
      <c r="E168" s="11"/>
      <c r="F168" s="2" t="str">
        <f t="shared" si="1"/>
        <v>What is the root word of the word \"babala\"?</v>
      </c>
      <c r="G168" s="2" t="str">
        <f t="shared" si="2"/>
        <v>Ano ang salitang-ugat ng salitang \"babala\"?</v>
      </c>
      <c r="H168" s="2" t="str">
        <f t="shared" si="3"/>
        <v>babala</v>
      </c>
      <c r="I168" s="19" t="s">
        <v>3020</v>
      </c>
      <c r="J168" s="11" t="s">
        <v>2304</v>
      </c>
      <c r="K168" s="11" t="s">
        <v>2304</v>
      </c>
      <c r="L168" s="2" t="s">
        <v>2236</v>
      </c>
      <c r="M168" s="2" t="s">
        <v>2236</v>
      </c>
      <c r="N168" s="2" t="s">
        <v>2237</v>
      </c>
    </row>
    <row r="169" spans="1:14" ht="15" x14ac:dyDescent="0.2">
      <c r="A169" s="2" t="s">
        <v>2002</v>
      </c>
      <c r="B169" s="19" t="s">
        <v>2853</v>
      </c>
      <c r="C169" s="2" t="str">
        <f t="shared" ref="C169:D169" si="169">M169</f>
        <v>none</v>
      </c>
      <c r="D169" s="2" t="str">
        <f t="shared" si="169"/>
        <v>etymological</v>
      </c>
      <c r="E169" s="11"/>
      <c r="F169" s="2" t="str">
        <f t="shared" si="1"/>
        <v>What is the root word of the word \"bibirsi\"?</v>
      </c>
      <c r="G169" s="2" t="str">
        <f t="shared" si="2"/>
        <v>Ano ang salitang-ugat ng salitang \"bibirsi\"?</v>
      </c>
      <c r="H169" s="2" t="str">
        <f t="shared" si="3"/>
        <v>bibirsi</v>
      </c>
      <c r="I169" s="19" t="s">
        <v>3021</v>
      </c>
      <c r="J169" s="11" t="s">
        <v>2305</v>
      </c>
      <c r="K169" s="11" t="s">
        <v>2305</v>
      </c>
      <c r="L169" s="2" t="s">
        <v>2236</v>
      </c>
      <c r="M169" s="2" t="s">
        <v>2236</v>
      </c>
      <c r="N169" s="2" t="s">
        <v>2237</v>
      </c>
    </row>
    <row r="170" spans="1:14" ht="15" x14ac:dyDescent="0.2">
      <c r="A170" s="2" t="s">
        <v>2002</v>
      </c>
      <c r="B170" s="19" t="s">
        <v>2853</v>
      </c>
      <c r="C170" s="2" t="str">
        <f t="shared" ref="C170:D170" si="170">M170</f>
        <v>none</v>
      </c>
      <c r="D170" s="2" t="str">
        <f t="shared" si="170"/>
        <v>etymological</v>
      </c>
      <c r="E170" s="11"/>
      <c r="F170" s="2" t="str">
        <f t="shared" si="1"/>
        <v>What is the root word of the word \"lalayan\"?</v>
      </c>
      <c r="G170" s="2" t="str">
        <f t="shared" si="2"/>
        <v>Ano ang salitang-ugat ng salitang \"lalayan\"?</v>
      </c>
      <c r="H170" s="2" t="str">
        <f t="shared" si="3"/>
        <v>lalayan</v>
      </c>
      <c r="I170" s="19" t="s">
        <v>3022</v>
      </c>
      <c r="J170" s="11" t="s">
        <v>2306</v>
      </c>
      <c r="K170" s="11" t="s">
        <v>2306</v>
      </c>
      <c r="L170" s="2" t="s">
        <v>2236</v>
      </c>
      <c r="M170" s="2" t="s">
        <v>2236</v>
      </c>
      <c r="N170" s="2" t="s">
        <v>2237</v>
      </c>
    </row>
    <row r="171" spans="1:14" ht="15" x14ac:dyDescent="0.2">
      <c r="A171" s="2" t="s">
        <v>2002</v>
      </c>
      <c r="B171" s="19" t="s">
        <v>2853</v>
      </c>
      <c r="C171" s="2" t="str">
        <f t="shared" ref="C171:D171" si="171">M171</f>
        <v>none</v>
      </c>
      <c r="D171" s="2" t="str">
        <f t="shared" si="171"/>
        <v>etymological</v>
      </c>
      <c r="E171" s="11"/>
      <c r="F171" s="2" t="str">
        <f t="shared" si="1"/>
        <v>What is the root word of the word \"kuskusyag\"?</v>
      </c>
      <c r="G171" s="2" t="str">
        <f t="shared" si="2"/>
        <v>Ano ang salitang-ugat ng salitang \"kuskusyag\"?</v>
      </c>
      <c r="H171" s="2" t="str">
        <f t="shared" si="3"/>
        <v>kuskusyag</v>
      </c>
      <c r="I171" s="19" t="s">
        <v>3023</v>
      </c>
      <c r="J171" s="11" t="s">
        <v>2307</v>
      </c>
      <c r="K171" s="11" t="s">
        <v>2307</v>
      </c>
      <c r="L171" s="2" t="s">
        <v>2236</v>
      </c>
      <c r="M171" s="2" t="s">
        <v>2236</v>
      </c>
      <c r="N171" s="2" t="s">
        <v>2237</v>
      </c>
    </row>
    <row r="172" spans="1:14" ht="15" x14ac:dyDescent="0.2">
      <c r="A172" s="2" t="s">
        <v>2002</v>
      </c>
      <c r="B172" s="19" t="s">
        <v>2853</v>
      </c>
      <c r="C172" s="2" t="str">
        <f t="shared" ref="C172:D172" si="172">M172</f>
        <v>none</v>
      </c>
      <c r="D172" s="2" t="str">
        <f t="shared" si="172"/>
        <v>etymological</v>
      </c>
      <c r="E172" s="11"/>
      <c r="F172" s="2" t="str">
        <f t="shared" si="1"/>
        <v>What is the root word of the word \"dayday\"?</v>
      </c>
      <c r="G172" s="2" t="str">
        <f t="shared" si="2"/>
        <v>Ano ang salitang-ugat ng salitang \"dayday\"?</v>
      </c>
      <c r="H172" s="2" t="str">
        <f t="shared" si="3"/>
        <v>dayday</v>
      </c>
      <c r="I172" s="19" t="s">
        <v>3024</v>
      </c>
      <c r="J172" s="11" t="s">
        <v>2308</v>
      </c>
      <c r="K172" s="11" t="s">
        <v>2308</v>
      </c>
      <c r="L172" s="2" t="s">
        <v>2236</v>
      </c>
      <c r="M172" s="2" t="s">
        <v>2236</v>
      </c>
      <c r="N172" s="2" t="s">
        <v>2237</v>
      </c>
    </row>
    <row r="173" spans="1:14" ht="15" x14ac:dyDescent="0.2">
      <c r="A173" s="2" t="s">
        <v>2002</v>
      </c>
      <c r="B173" s="19" t="s">
        <v>2853</v>
      </c>
      <c r="C173" s="2" t="str">
        <f t="shared" ref="C173:D173" si="173">M173</f>
        <v>none</v>
      </c>
      <c r="D173" s="2" t="str">
        <f t="shared" si="173"/>
        <v>etymological</v>
      </c>
      <c r="E173" s="11"/>
      <c r="F173" s="2" t="str">
        <f t="shared" si="1"/>
        <v>What is the root word of the word \"kengkeng\"?</v>
      </c>
      <c r="G173" s="2" t="str">
        <f t="shared" si="2"/>
        <v>Ano ang salitang-ugat ng salitang \"kengkeng\"?</v>
      </c>
      <c r="H173" s="2" t="str">
        <f t="shared" si="3"/>
        <v>kengkeng</v>
      </c>
      <c r="I173" s="19" t="s">
        <v>3025</v>
      </c>
      <c r="J173" s="11" t="s">
        <v>2309</v>
      </c>
      <c r="K173" s="11" t="s">
        <v>2309</v>
      </c>
      <c r="L173" s="2" t="s">
        <v>2236</v>
      </c>
      <c r="M173" s="2" t="s">
        <v>2236</v>
      </c>
      <c r="N173" s="2" t="s">
        <v>2237</v>
      </c>
    </row>
    <row r="174" spans="1:14" ht="15" x14ac:dyDescent="0.2">
      <c r="A174" s="2" t="s">
        <v>2002</v>
      </c>
      <c r="B174" s="19" t="s">
        <v>2853</v>
      </c>
      <c r="C174" s="2" t="str">
        <f t="shared" ref="C174:D174" si="174">M174</f>
        <v>none</v>
      </c>
      <c r="D174" s="2" t="str">
        <f t="shared" si="174"/>
        <v>etymological</v>
      </c>
      <c r="E174" s="11"/>
      <c r="F174" s="2" t="str">
        <f t="shared" si="1"/>
        <v>What is the root word of the word \"babaw\"?</v>
      </c>
      <c r="G174" s="2" t="str">
        <f t="shared" si="2"/>
        <v>Ano ang salitang-ugat ng salitang \"babaw\"?</v>
      </c>
      <c r="H174" s="2" t="str">
        <f t="shared" si="3"/>
        <v>babaw</v>
      </c>
      <c r="I174" s="19" t="s">
        <v>3026</v>
      </c>
      <c r="J174" s="11" t="s">
        <v>2310</v>
      </c>
      <c r="K174" s="11" t="s">
        <v>2310</v>
      </c>
      <c r="L174" s="2" t="s">
        <v>2236</v>
      </c>
      <c r="M174" s="2" t="s">
        <v>2236</v>
      </c>
      <c r="N174" s="2" t="s">
        <v>2237</v>
      </c>
    </row>
    <row r="175" spans="1:14" ht="15" x14ac:dyDescent="0.2">
      <c r="A175" s="2" t="s">
        <v>2002</v>
      </c>
      <c r="B175" s="19" t="s">
        <v>2853</v>
      </c>
      <c r="C175" s="2" t="str">
        <f t="shared" ref="C175:D175" si="175">M175</f>
        <v>none</v>
      </c>
      <c r="D175" s="2" t="str">
        <f t="shared" si="175"/>
        <v>etymological</v>
      </c>
      <c r="E175" s="11"/>
      <c r="F175" s="2" t="str">
        <f t="shared" si="1"/>
        <v>What is the root word of the word \"silsil\"?</v>
      </c>
      <c r="G175" s="2" t="str">
        <f t="shared" si="2"/>
        <v>Ano ang salitang-ugat ng salitang \"silsil\"?</v>
      </c>
      <c r="H175" s="2" t="str">
        <f t="shared" si="3"/>
        <v>silsil</v>
      </c>
      <c r="I175" s="19" t="s">
        <v>3027</v>
      </c>
      <c r="J175" s="11" t="s">
        <v>2311</v>
      </c>
      <c r="K175" s="11" t="s">
        <v>2311</v>
      </c>
      <c r="L175" s="2" t="s">
        <v>2236</v>
      </c>
      <c r="M175" s="2" t="s">
        <v>2236</v>
      </c>
      <c r="N175" s="2" t="s">
        <v>2237</v>
      </c>
    </row>
    <row r="176" spans="1:14" ht="15" x14ac:dyDescent="0.2">
      <c r="A176" s="2" t="s">
        <v>2002</v>
      </c>
      <c r="B176" s="19" t="s">
        <v>2853</v>
      </c>
      <c r="C176" s="2" t="str">
        <f t="shared" ref="C176:D176" si="176">M176</f>
        <v>none</v>
      </c>
      <c r="D176" s="2" t="str">
        <f t="shared" si="176"/>
        <v>etymological</v>
      </c>
      <c r="E176" s="11"/>
      <c r="F176" s="2" t="str">
        <f t="shared" si="1"/>
        <v>What is the root word of the word \"sisi\"?</v>
      </c>
      <c r="G176" s="2" t="str">
        <f t="shared" si="2"/>
        <v>Ano ang salitang-ugat ng salitang \"sisi\"?</v>
      </c>
      <c r="H176" s="2" t="str">
        <f t="shared" si="3"/>
        <v>sisi</v>
      </c>
      <c r="I176" s="19" t="s">
        <v>3028</v>
      </c>
      <c r="J176" s="11" t="s">
        <v>311</v>
      </c>
      <c r="K176" s="11" t="s">
        <v>311</v>
      </c>
      <c r="L176" s="2" t="s">
        <v>2236</v>
      </c>
      <c r="M176" s="2" t="s">
        <v>2236</v>
      </c>
      <c r="N176" s="2" t="s">
        <v>2237</v>
      </c>
    </row>
    <row r="177" spans="1:14" ht="15" x14ac:dyDescent="0.2">
      <c r="A177" s="2" t="s">
        <v>2002</v>
      </c>
      <c r="B177" s="19" t="s">
        <v>2853</v>
      </c>
      <c r="C177" s="2" t="str">
        <f t="shared" ref="C177:D177" si="177">M177</f>
        <v>none</v>
      </c>
      <c r="D177" s="2" t="str">
        <f t="shared" si="177"/>
        <v>etymological</v>
      </c>
      <c r="E177" s="11"/>
      <c r="F177" s="2" t="str">
        <f t="shared" si="1"/>
        <v>What is the root word of the word \"mamay\"?</v>
      </c>
      <c r="G177" s="2" t="str">
        <f t="shared" si="2"/>
        <v>Ano ang salitang-ugat ng salitang \"mamay\"?</v>
      </c>
      <c r="H177" s="2" t="str">
        <f t="shared" si="3"/>
        <v>mamay</v>
      </c>
      <c r="I177" s="19" t="s">
        <v>3029</v>
      </c>
      <c r="J177" s="11" t="s">
        <v>2312</v>
      </c>
      <c r="K177" s="11" t="s">
        <v>2312</v>
      </c>
      <c r="L177" s="2" t="s">
        <v>2236</v>
      </c>
      <c r="M177" s="2" t="s">
        <v>2236</v>
      </c>
      <c r="N177" s="2" t="s">
        <v>2237</v>
      </c>
    </row>
    <row r="178" spans="1:14" ht="15" x14ac:dyDescent="0.2">
      <c r="A178" s="2" t="s">
        <v>2002</v>
      </c>
      <c r="B178" s="19" t="s">
        <v>2853</v>
      </c>
      <c r="C178" s="2" t="str">
        <f t="shared" ref="C178:D178" si="178">M178</f>
        <v>none</v>
      </c>
      <c r="D178" s="2" t="str">
        <f t="shared" si="178"/>
        <v>etymological</v>
      </c>
      <c r="E178" s="11"/>
      <c r="F178" s="2" t="str">
        <f t="shared" si="1"/>
        <v>What is the root word of the word \"sisil\"?</v>
      </c>
      <c r="G178" s="2" t="str">
        <f t="shared" si="2"/>
        <v>Ano ang salitang-ugat ng salitang \"sisil\"?</v>
      </c>
      <c r="H178" s="2" t="str">
        <f t="shared" si="3"/>
        <v>sisil</v>
      </c>
      <c r="I178" s="19" t="s">
        <v>3030</v>
      </c>
      <c r="J178" s="11" t="s">
        <v>2313</v>
      </c>
      <c r="K178" s="11" t="s">
        <v>2313</v>
      </c>
      <c r="L178" s="2" t="s">
        <v>2236</v>
      </c>
      <c r="M178" s="2" t="s">
        <v>2236</v>
      </c>
      <c r="N178" s="2" t="s">
        <v>2237</v>
      </c>
    </row>
    <row r="179" spans="1:14" ht="15" x14ac:dyDescent="0.2">
      <c r="A179" s="2" t="s">
        <v>2002</v>
      </c>
      <c r="B179" s="19" t="s">
        <v>2853</v>
      </c>
      <c r="C179" s="2" t="str">
        <f t="shared" ref="C179:D179" si="179">M179</f>
        <v>none</v>
      </c>
      <c r="D179" s="2" t="str">
        <f t="shared" si="179"/>
        <v>etymological</v>
      </c>
      <c r="E179" s="11"/>
      <c r="F179" s="2" t="str">
        <f t="shared" si="1"/>
        <v>What is the root word of the word \"sansaw\"?</v>
      </c>
      <c r="G179" s="2" t="str">
        <f t="shared" si="2"/>
        <v>Ano ang salitang-ugat ng salitang \"sansaw\"?</v>
      </c>
      <c r="H179" s="2" t="str">
        <f t="shared" si="3"/>
        <v>sansaw</v>
      </c>
      <c r="I179" s="19" t="s">
        <v>3031</v>
      </c>
      <c r="J179" s="11" t="s">
        <v>2314</v>
      </c>
      <c r="K179" s="11" t="s">
        <v>2314</v>
      </c>
      <c r="L179" s="2" t="s">
        <v>2236</v>
      </c>
      <c r="M179" s="2" t="s">
        <v>2236</v>
      </c>
      <c r="N179" s="2" t="s">
        <v>2237</v>
      </c>
    </row>
    <row r="180" spans="1:14" ht="15" x14ac:dyDescent="0.2">
      <c r="A180" s="2" t="s">
        <v>2002</v>
      </c>
      <c r="B180" s="19" t="s">
        <v>2853</v>
      </c>
      <c r="C180" s="2" t="str">
        <f t="shared" ref="C180:D180" si="180">M180</f>
        <v>none</v>
      </c>
      <c r="D180" s="2" t="str">
        <f t="shared" si="180"/>
        <v>etymological</v>
      </c>
      <c r="E180" s="11"/>
      <c r="F180" s="2" t="str">
        <f t="shared" si="1"/>
        <v>What is the root word of the word \"mungmungan\"?</v>
      </c>
      <c r="G180" s="2" t="str">
        <f t="shared" si="2"/>
        <v>Ano ang salitang-ugat ng salitang \"mungmungan\"?</v>
      </c>
      <c r="H180" s="2" t="str">
        <f t="shared" si="3"/>
        <v>mungmungan</v>
      </c>
      <c r="I180" s="19" t="s">
        <v>3032</v>
      </c>
      <c r="J180" s="11" t="s">
        <v>2315</v>
      </c>
      <c r="K180" s="11" t="s">
        <v>2315</v>
      </c>
      <c r="L180" s="2" t="s">
        <v>2236</v>
      </c>
      <c r="M180" s="2" t="s">
        <v>2236</v>
      </c>
      <c r="N180" s="2" t="s">
        <v>2237</v>
      </c>
    </row>
    <row r="181" spans="1:14" ht="15" x14ac:dyDescent="0.2">
      <c r="A181" s="2" t="s">
        <v>2002</v>
      </c>
      <c r="B181" s="19" t="s">
        <v>2853</v>
      </c>
      <c r="C181" s="2" t="str">
        <f t="shared" ref="C181:D181" si="181">M181</f>
        <v>none</v>
      </c>
      <c r="D181" s="2" t="str">
        <f t="shared" si="181"/>
        <v>etymological</v>
      </c>
      <c r="E181" s="11"/>
      <c r="F181" s="2" t="str">
        <f t="shared" si="1"/>
        <v>What is the root word of the word \"pilpil\"?</v>
      </c>
      <c r="G181" s="2" t="str">
        <f t="shared" si="2"/>
        <v>Ano ang salitang-ugat ng salitang \"pilpil\"?</v>
      </c>
      <c r="H181" s="2" t="str">
        <f t="shared" si="3"/>
        <v>pilpil</v>
      </c>
      <c r="I181" s="19" t="s">
        <v>3033</v>
      </c>
      <c r="J181" s="11" t="s">
        <v>2316</v>
      </c>
      <c r="K181" s="11" t="s">
        <v>2316</v>
      </c>
      <c r="L181" s="2" t="s">
        <v>2236</v>
      </c>
      <c r="M181" s="2" t="s">
        <v>2236</v>
      </c>
      <c r="N181" s="2" t="s">
        <v>2237</v>
      </c>
    </row>
    <row r="182" spans="1:14" ht="15" x14ac:dyDescent="0.2">
      <c r="A182" s="2" t="s">
        <v>2002</v>
      </c>
      <c r="B182" s="19" t="s">
        <v>2853</v>
      </c>
      <c r="C182" s="2" t="str">
        <f t="shared" ref="C182:D182" si="182">M182</f>
        <v>none</v>
      </c>
      <c r="D182" s="2" t="str">
        <f t="shared" si="182"/>
        <v>etymological</v>
      </c>
      <c r="E182" s="11"/>
      <c r="F182" s="2" t="str">
        <f t="shared" si="1"/>
        <v>What is the root word of the word \"meme\"?</v>
      </c>
      <c r="G182" s="2" t="str">
        <f t="shared" si="2"/>
        <v>Ano ang salitang-ugat ng salitang \"meme\"?</v>
      </c>
      <c r="H182" s="2" t="str">
        <f t="shared" si="3"/>
        <v>meme</v>
      </c>
      <c r="I182" s="19" t="s">
        <v>3034</v>
      </c>
      <c r="J182" s="11" t="s">
        <v>2317</v>
      </c>
      <c r="K182" s="11" t="s">
        <v>2317</v>
      </c>
      <c r="L182" s="2" t="s">
        <v>2236</v>
      </c>
      <c r="M182" s="2" t="s">
        <v>2236</v>
      </c>
      <c r="N182" s="2" t="s">
        <v>2237</v>
      </c>
    </row>
    <row r="183" spans="1:14" ht="15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pans="1:14" ht="15" x14ac:dyDescent="0.2">
      <c r="K184" s="11"/>
    </row>
    <row r="185" spans="1:14" ht="15" x14ac:dyDescent="0.2">
      <c r="K185" s="11"/>
    </row>
    <row r="186" spans="1:14" ht="15" x14ac:dyDescent="0.2">
      <c r="K186" s="11"/>
    </row>
    <row r="187" spans="1:14" ht="15" x14ac:dyDescent="0.2">
      <c r="K187" s="11"/>
    </row>
    <row r="188" spans="1:14" ht="15" x14ac:dyDescent="0.2">
      <c r="K188" s="11"/>
    </row>
    <row r="189" spans="1:14" ht="15" x14ac:dyDescent="0.2">
      <c r="K189" s="11"/>
    </row>
    <row r="190" spans="1:14" ht="15" x14ac:dyDescent="0.2">
      <c r="K190" s="11"/>
    </row>
    <row r="191" spans="1:14" ht="15" x14ac:dyDescent="0.2">
      <c r="K191" s="11"/>
    </row>
    <row r="192" spans="1:14" ht="15" x14ac:dyDescent="0.2">
      <c r="K192" s="11"/>
    </row>
    <row r="193" spans="11:11" ht="15" x14ac:dyDescent="0.2">
      <c r="K193" s="11"/>
    </row>
    <row r="194" spans="11:11" ht="15" x14ac:dyDescent="0.2">
      <c r="K194" s="11"/>
    </row>
    <row r="195" spans="11:11" ht="15" x14ac:dyDescent="0.2">
      <c r="K195" s="11"/>
    </row>
    <row r="196" spans="11:11" ht="15" x14ac:dyDescent="0.2">
      <c r="K196" s="11"/>
    </row>
    <row r="197" spans="11:11" ht="15" x14ac:dyDescent="0.2">
      <c r="K197" s="11"/>
    </row>
    <row r="198" spans="11:11" ht="15" x14ac:dyDescent="0.2">
      <c r="K198" s="11"/>
    </row>
    <row r="199" spans="11:11" ht="15" x14ac:dyDescent="0.2">
      <c r="K199" s="11"/>
    </row>
    <row r="200" spans="11:11" ht="15" x14ac:dyDescent="0.2">
      <c r="K200" s="11"/>
    </row>
    <row r="201" spans="11:11" ht="15" x14ac:dyDescent="0.2">
      <c r="K201" s="11"/>
    </row>
    <row r="202" spans="11:11" ht="15" x14ac:dyDescent="0.2">
      <c r="K202" s="11"/>
    </row>
    <row r="203" spans="11:11" ht="15" x14ac:dyDescent="0.2">
      <c r="K203" s="11"/>
    </row>
  </sheetData>
  <phoneticPr fontId="13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CE56-F405-1043-8251-A51515B4ADDF}">
  <dimension ref="A1:Q182"/>
  <sheetViews>
    <sheetView tabSelected="1" workbookViewId="0">
      <selection activeCell="K15" sqref="K15"/>
    </sheetView>
  </sheetViews>
  <sheetFormatPr baseColWidth="10" defaultRowHeight="13" x14ac:dyDescent="0.15"/>
  <sheetData>
    <row r="1" spans="1:17" x14ac:dyDescent="0.15">
      <c r="A1" s="20" t="s">
        <v>502</v>
      </c>
      <c r="B1" s="20" t="s">
        <v>503</v>
      </c>
      <c r="C1" s="20" t="s">
        <v>1692</v>
      </c>
      <c r="D1" s="20" t="s">
        <v>2001</v>
      </c>
      <c r="E1" s="20" t="s">
        <v>504</v>
      </c>
      <c r="F1" s="20" t="s">
        <v>505</v>
      </c>
      <c r="G1" s="20" t="s">
        <v>506</v>
      </c>
      <c r="H1" s="20" t="s">
        <v>507</v>
      </c>
      <c r="I1" s="20"/>
      <c r="J1" s="20" t="s">
        <v>83</v>
      </c>
      <c r="K1" s="20" t="s">
        <v>2019</v>
      </c>
      <c r="L1" s="20" t="s">
        <v>2020</v>
      </c>
      <c r="M1" s="20" t="s">
        <v>2021</v>
      </c>
      <c r="N1" s="20" t="s">
        <v>88</v>
      </c>
      <c r="O1" s="20" t="s">
        <v>2022</v>
      </c>
      <c r="P1" s="20" t="s">
        <v>89</v>
      </c>
      <c r="Q1" s="20"/>
    </row>
    <row r="2" spans="1:17" x14ac:dyDescent="0.15">
      <c r="A2" s="20" t="s">
        <v>2002</v>
      </c>
      <c r="B2" s="20" t="s">
        <v>3035</v>
      </c>
      <c r="C2" s="20" t="s">
        <v>2023</v>
      </c>
      <c r="D2" s="20" t="s">
        <v>2024</v>
      </c>
      <c r="E2" s="20"/>
      <c r="F2" s="20" t="s">
        <v>3036</v>
      </c>
      <c r="G2" s="20" t="s">
        <v>3037</v>
      </c>
      <c r="H2" s="20" t="s">
        <v>2029</v>
      </c>
      <c r="I2" s="20"/>
      <c r="J2" s="20" t="s">
        <v>2028</v>
      </c>
      <c r="K2" s="20" t="s">
        <v>2027</v>
      </c>
      <c r="L2" s="20" t="s">
        <v>2029</v>
      </c>
      <c r="M2" s="20" t="s">
        <v>2023</v>
      </c>
      <c r="N2" s="20" t="s">
        <v>2024</v>
      </c>
      <c r="O2" s="20" t="s">
        <v>2030</v>
      </c>
      <c r="P2" s="20"/>
      <c r="Q2" s="20"/>
    </row>
    <row r="3" spans="1:17" x14ac:dyDescent="0.15">
      <c r="A3" s="20" t="s">
        <v>2002</v>
      </c>
      <c r="B3" s="20" t="s">
        <v>3035</v>
      </c>
      <c r="C3" s="20" t="s">
        <v>2023</v>
      </c>
      <c r="D3" s="20" t="s">
        <v>2024</v>
      </c>
      <c r="E3" s="20"/>
      <c r="F3" s="20" t="s">
        <v>3038</v>
      </c>
      <c r="G3" s="20" t="s">
        <v>3039</v>
      </c>
      <c r="H3" s="20" t="s">
        <v>2033</v>
      </c>
      <c r="I3" s="20"/>
      <c r="J3" s="20" t="s">
        <v>2031</v>
      </c>
      <c r="K3" s="20" t="s">
        <v>2032</v>
      </c>
      <c r="L3" s="20" t="s">
        <v>2033</v>
      </c>
      <c r="M3" s="20" t="s">
        <v>2023</v>
      </c>
      <c r="N3" s="20" t="s">
        <v>2024</v>
      </c>
      <c r="O3" s="20" t="s">
        <v>2030</v>
      </c>
      <c r="P3" s="20"/>
      <c r="Q3" s="20"/>
    </row>
    <row r="4" spans="1:17" x14ac:dyDescent="0.15">
      <c r="A4" s="20" t="s">
        <v>2002</v>
      </c>
      <c r="B4" s="20" t="s">
        <v>3035</v>
      </c>
      <c r="C4" s="20" t="s">
        <v>2023</v>
      </c>
      <c r="D4" s="20" t="s">
        <v>2024</v>
      </c>
      <c r="E4" s="20"/>
      <c r="F4" s="20" t="s">
        <v>3040</v>
      </c>
      <c r="G4" s="20" t="s">
        <v>3041</v>
      </c>
      <c r="H4" s="20" t="s">
        <v>2035</v>
      </c>
      <c r="I4" s="20"/>
      <c r="J4" s="20" t="s">
        <v>2034</v>
      </c>
      <c r="K4" s="20" t="s">
        <v>299</v>
      </c>
      <c r="L4" s="20" t="s">
        <v>2035</v>
      </c>
      <c r="M4" s="20" t="s">
        <v>2023</v>
      </c>
      <c r="N4" s="20" t="s">
        <v>2024</v>
      </c>
      <c r="O4" s="20" t="s">
        <v>2030</v>
      </c>
      <c r="P4" s="20"/>
      <c r="Q4" s="20"/>
    </row>
    <row r="5" spans="1:17" x14ac:dyDescent="0.15">
      <c r="A5" s="20" t="s">
        <v>2002</v>
      </c>
      <c r="B5" s="20" t="s">
        <v>3035</v>
      </c>
      <c r="C5" s="20" t="s">
        <v>2023</v>
      </c>
      <c r="D5" s="20" t="s">
        <v>2024</v>
      </c>
      <c r="E5" s="20"/>
      <c r="F5" s="20" t="s">
        <v>3042</v>
      </c>
      <c r="G5" s="20" t="s">
        <v>3043</v>
      </c>
      <c r="H5" s="20" t="s">
        <v>571</v>
      </c>
      <c r="I5" s="20"/>
      <c r="J5" s="20" t="s">
        <v>2036</v>
      </c>
      <c r="K5" s="20" t="s">
        <v>2037</v>
      </c>
      <c r="L5" s="20" t="s">
        <v>571</v>
      </c>
      <c r="M5" s="20" t="s">
        <v>2023</v>
      </c>
      <c r="N5" s="20" t="s">
        <v>2024</v>
      </c>
      <c r="O5" s="20" t="s">
        <v>2030</v>
      </c>
      <c r="P5" s="20"/>
      <c r="Q5" s="20"/>
    </row>
    <row r="6" spans="1:17" x14ac:dyDescent="0.15">
      <c r="A6" s="20" t="s">
        <v>2002</v>
      </c>
      <c r="B6" s="20" t="s">
        <v>3035</v>
      </c>
      <c r="C6" s="20" t="s">
        <v>2023</v>
      </c>
      <c r="D6" s="20" t="s">
        <v>2024</v>
      </c>
      <c r="E6" s="20"/>
      <c r="F6" s="20" t="s">
        <v>3044</v>
      </c>
      <c r="G6" s="20" t="s">
        <v>3045</v>
      </c>
      <c r="H6" s="20" t="s">
        <v>2040</v>
      </c>
      <c r="I6" s="20"/>
      <c r="J6" s="20" t="s">
        <v>2038</v>
      </c>
      <c r="K6" s="20" t="s">
        <v>2039</v>
      </c>
      <c r="L6" s="20" t="s">
        <v>2040</v>
      </c>
      <c r="M6" s="20" t="s">
        <v>2023</v>
      </c>
      <c r="N6" s="20" t="s">
        <v>2024</v>
      </c>
      <c r="O6" s="20" t="s">
        <v>2030</v>
      </c>
      <c r="P6" s="20"/>
      <c r="Q6" s="20"/>
    </row>
    <row r="7" spans="1:17" x14ac:dyDescent="0.15">
      <c r="A7" s="20" t="s">
        <v>2002</v>
      </c>
      <c r="B7" s="20" t="s">
        <v>3035</v>
      </c>
      <c r="C7" s="20" t="s">
        <v>2023</v>
      </c>
      <c r="D7" s="20" t="s">
        <v>2024</v>
      </c>
      <c r="E7" s="20"/>
      <c r="F7" s="20" t="s">
        <v>3046</v>
      </c>
      <c r="G7" s="20" t="s">
        <v>3047</v>
      </c>
      <c r="H7" s="20" t="s">
        <v>2040</v>
      </c>
      <c r="I7" s="20"/>
      <c r="J7" s="20" t="s">
        <v>2041</v>
      </c>
      <c r="K7" s="20" t="s">
        <v>2042</v>
      </c>
      <c r="L7" s="20" t="s">
        <v>2040</v>
      </c>
      <c r="M7" s="20" t="s">
        <v>2023</v>
      </c>
      <c r="N7" s="20" t="s">
        <v>2024</v>
      </c>
      <c r="O7" s="20" t="s">
        <v>2030</v>
      </c>
      <c r="P7" s="20"/>
      <c r="Q7" s="20"/>
    </row>
    <row r="8" spans="1:17" x14ac:dyDescent="0.15">
      <c r="A8" s="20" t="s">
        <v>2002</v>
      </c>
      <c r="B8" s="20" t="s">
        <v>3035</v>
      </c>
      <c r="C8" s="20" t="s">
        <v>2023</v>
      </c>
      <c r="D8" s="20" t="s">
        <v>2024</v>
      </c>
      <c r="E8" s="20"/>
      <c r="F8" s="20" t="s">
        <v>3048</v>
      </c>
      <c r="G8" s="20" t="s">
        <v>3049</v>
      </c>
      <c r="H8" s="20" t="s">
        <v>525</v>
      </c>
      <c r="I8" s="20"/>
      <c r="J8" s="20" t="s">
        <v>2043</v>
      </c>
      <c r="K8" s="20" t="s">
        <v>2044</v>
      </c>
      <c r="L8" s="20" t="s">
        <v>525</v>
      </c>
      <c r="M8" s="20" t="s">
        <v>2023</v>
      </c>
      <c r="N8" s="20" t="s">
        <v>2024</v>
      </c>
      <c r="O8" s="20" t="s">
        <v>2030</v>
      </c>
      <c r="P8" s="20"/>
      <c r="Q8" s="20"/>
    </row>
    <row r="9" spans="1:17" x14ac:dyDescent="0.15">
      <c r="A9" s="20" t="s">
        <v>2002</v>
      </c>
      <c r="B9" s="20" t="s">
        <v>3035</v>
      </c>
      <c r="C9" s="20" t="s">
        <v>2023</v>
      </c>
      <c r="D9" s="20" t="s">
        <v>2024</v>
      </c>
      <c r="E9" s="20"/>
      <c r="F9" s="20" t="s">
        <v>3050</v>
      </c>
      <c r="G9" s="20" t="s">
        <v>3051</v>
      </c>
      <c r="H9" s="20" t="s">
        <v>571</v>
      </c>
      <c r="I9" s="20"/>
      <c r="J9" s="20" t="s">
        <v>2045</v>
      </c>
      <c r="K9" s="20" t="s">
        <v>2046</v>
      </c>
      <c r="L9" s="20" t="s">
        <v>571</v>
      </c>
      <c r="M9" s="20" t="s">
        <v>2023</v>
      </c>
      <c r="N9" s="20" t="s">
        <v>2024</v>
      </c>
      <c r="O9" s="20" t="s">
        <v>2030</v>
      </c>
      <c r="P9" s="20"/>
      <c r="Q9" s="20"/>
    </row>
    <row r="10" spans="1:17" x14ac:dyDescent="0.15">
      <c r="A10" s="20" t="s">
        <v>2002</v>
      </c>
      <c r="B10" s="20" t="s">
        <v>3035</v>
      </c>
      <c r="C10" s="20" t="s">
        <v>2023</v>
      </c>
      <c r="D10" s="20" t="s">
        <v>2024</v>
      </c>
      <c r="E10" s="20"/>
      <c r="F10" s="20" t="s">
        <v>3052</v>
      </c>
      <c r="G10" s="20" t="s">
        <v>3053</v>
      </c>
      <c r="H10" s="20" t="s">
        <v>2049</v>
      </c>
      <c r="I10" s="20"/>
      <c r="J10" s="20" t="s">
        <v>2047</v>
      </c>
      <c r="K10" s="20" t="s">
        <v>2048</v>
      </c>
      <c r="L10" s="20" t="s">
        <v>2049</v>
      </c>
      <c r="M10" s="20" t="s">
        <v>2023</v>
      </c>
      <c r="N10" s="20" t="s">
        <v>2024</v>
      </c>
      <c r="O10" s="20" t="s">
        <v>2030</v>
      </c>
      <c r="P10" s="20"/>
      <c r="Q10" s="20"/>
    </row>
    <row r="11" spans="1:17" x14ac:dyDescent="0.15">
      <c r="A11" s="20" t="s">
        <v>2002</v>
      </c>
      <c r="B11" s="20" t="s">
        <v>3035</v>
      </c>
      <c r="C11" s="20" t="s">
        <v>2023</v>
      </c>
      <c r="D11" s="20" t="s">
        <v>2024</v>
      </c>
      <c r="E11" s="20"/>
      <c r="F11" s="20" t="s">
        <v>3054</v>
      </c>
      <c r="G11" s="20" t="s">
        <v>3055</v>
      </c>
      <c r="H11" s="20" t="s">
        <v>2052</v>
      </c>
      <c r="I11" s="20"/>
      <c r="J11" s="20" t="s">
        <v>2050</v>
      </c>
      <c r="K11" s="20" t="s">
        <v>2051</v>
      </c>
      <c r="L11" s="20" t="s">
        <v>2052</v>
      </c>
      <c r="M11" s="20" t="s">
        <v>2023</v>
      </c>
      <c r="N11" s="20" t="s">
        <v>2024</v>
      </c>
      <c r="O11" s="20" t="s">
        <v>2030</v>
      </c>
      <c r="P11" s="20"/>
      <c r="Q11" s="20"/>
    </row>
    <row r="12" spans="1:17" x14ac:dyDescent="0.15">
      <c r="A12" s="20" t="s">
        <v>2002</v>
      </c>
      <c r="B12" s="20" t="s">
        <v>3035</v>
      </c>
      <c r="C12" s="20" t="s">
        <v>2023</v>
      </c>
      <c r="D12" s="20" t="s">
        <v>2024</v>
      </c>
      <c r="E12" s="20"/>
      <c r="F12" s="20" t="s">
        <v>3056</v>
      </c>
      <c r="G12" s="20" t="s">
        <v>3057</v>
      </c>
      <c r="H12" s="20" t="s">
        <v>2055</v>
      </c>
      <c r="I12" s="20"/>
      <c r="J12" s="20" t="s">
        <v>2053</v>
      </c>
      <c r="K12" s="20" t="s">
        <v>2054</v>
      </c>
      <c r="L12" s="20" t="s">
        <v>2055</v>
      </c>
      <c r="M12" s="20" t="s">
        <v>2023</v>
      </c>
      <c r="N12" s="20" t="s">
        <v>2024</v>
      </c>
      <c r="O12" s="20" t="s">
        <v>2030</v>
      </c>
      <c r="P12" s="20"/>
      <c r="Q12" s="20"/>
    </row>
    <row r="13" spans="1:17" x14ac:dyDescent="0.15">
      <c r="A13" s="20" t="s">
        <v>2002</v>
      </c>
      <c r="B13" s="20" t="s">
        <v>3035</v>
      </c>
      <c r="C13" s="20" t="s">
        <v>2023</v>
      </c>
      <c r="D13" s="20" t="s">
        <v>2058</v>
      </c>
      <c r="E13" s="20"/>
      <c r="F13" s="20" t="s">
        <v>3058</v>
      </c>
      <c r="G13" s="20" t="s">
        <v>3059</v>
      </c>
      <c r="H13" s="20" t="s">
        <v>529</v>
      </c>
      <c r="I13" s="20"/>
      <c r="J13" s="20" t="s">
        <v>2056</v>
      </c>
      <c r="K13" s="20" t="s">
        <v>2057</v>
      </c>
      <c r="L13" s="20" t="s">
        <v>529</v>
      </c>
      <c r="M13" s="20" t="s">
        <v>2023</v>
      </c>
      <c r="N13" s="20" t="s">
        <v>2058</v>
      </c>
      <c r="O13" s="20" t="s">
        <v>2059</v>
      </c>
      <c r="P13" s="20"/>
      <c r="Q13" s="20"/>
    </row>
    <row r="14" spans="1:17" x14ac:dyDescent="0.15">
      <c r="A14" s="20" t="s">
        <v>2002</v>
      </c>
      <c r="B14" s="20" t="s">
        <v>3035</v>
      </c>
      <c r="C14" s="20" t="s">
        <v>2023</v>
      </c>
      <c r="D14" s="20" t="s">
        <v>2058</v>
      </c>
      <c r="E14" s="20"/>
      <c r="F14" s="20" t="s">
        <v>3060</v>
      </c>
      <c r="G14" s="20" t="s">
        <v>3061</v>
      </c>
      <c r="H14" s="20" t="s">
        <v>529</v>
      </c>
      <c r="I14" s="20"/>
      <c r="J14" s="20" t="s">
        <v>2060</v>
      </c>
      <c r="K14" s="20" t="s">
        <v>2061</v>
      </c>
      <c r="L14" s="20" t="s">
        <v>529</v>
      </c>
      <c r="M14" s="20" t="s">
        <v>2023</v>
      </c>
      <c r="N14" s="20" t="s">
        <v>2058</v>
      </c>
      <c r="O14" s="20" t="s">
        <v>2059</v>
      </c>
      <c r="P14" s="20"/>
      <c r="Q14" s="20"/>
    </row>
    <row r="15" spans="1:17" x14ac:dyDescent="0.15">
      <c r="A15" s="20" t="s">
        <v>2002</v>
      </c>
      <c r="B15" s="20" t="s">
        <v>3035</v>
      </c>
      <c r="C15" s="20" t="s">
        <v>2023</v>
      </c>
      <c r="D15" s="20" t="s">
        <v>2058</v>
      </c>
      <c r="E15" s="20"/>
      <c r="F15" s="20" t="s">
        <v>3062</v>
      </c>
      <c r="G15" s="20" t="s">
        <v>3063</v>
      </c>
      <c r="H15" s="20" t="s">
        <v>529</v>
      </c>
      <c r="I15" s="20"/>
      <c r="J15" s="20" t="s">
        <v>2062</v>
      </c>
      <c r="K15" s="20" t="s">
        <v>2063</v>
      </c>
      <c r="L15" s="20" t="s">
        <v>529</v>
      </c>
      <c r="M15" s="20" t="s">
        <v>2023</v>
      </c>
      <c r="N15" s="20" t="s">
        <v>2058</v>
      </c>
      <c r="O15" s="20" t="s">
        <v>2059</v>
      </c>
      <c r="P15" s="20"/>
      <c r="Q15" s="20"/>
    </row>
    <row r="16" spans="1:17" x14ac:dyDescent="0.15">
      <c r="A16" s="20" t="s">
        <v>2002</v>
      </c>
      <c r="B16" s="20" t="s">
        <v>3035</v>
      </c>
      <c r="C16" s="20" t="s">
        <v>2023</v>
      </c>
      <c r="D16" s="20" t="s">
        <v>2058</v>
      </c>
      <c r="E16" s="20"/>
      <c r="F16" s="20" t="s">
        <v>3064</v>
      </c>
      <c r="G16" s="20" t="s">
        <v>3065</v>
      </c>
      <c r="H16" s="20" t="s">
        <v>529</v>
      </c>
      <c r="I16" s="20"/>
      <c r="J16" s="20" t="s">
        <v>2064</v>
      </c>
      <c r="K16" s="20" t="s">
        <v>2039</v>
      </c>
      <c r="L16" s="20" t="s">
        <v>529</v>
      </c>
      <c r="M16" s="20" t="s">
        <v>2023</v>
      </c>
      <c r="N16" s="20" t="s">
        <v>2058</v>
      </c>
      <c r="O16" s="20" t="s">
        <v>2059</v>
      </c>
      <c r="P16" s="20"/>
      <c r="Q16" s="20"/>
    </row>
    <row r="17" spans="1:17" x14ac:dyDescent="0.15">
      <c r="A17" s="20" t="s">
        <v>2002</v>
      </c>
      <c r="B17" s="20" t="s">
        <v>3035</v>
      </c>
      <c r="C17" s="20" t="s">
        <v>2023</v>
      </c>
      <c r="D17" s="20" t="s">
        <v>2058</v>
      </c>
      <c r="E17" s="20"/>
      <c r="F17" s="20" t="s">
        <v>3066</v>
      </c>
      <c r="G17" s="20" t="s">
        <v>3067</v>
      </c>
      <c r="H17" s="20" t="s">
        <v>529</v>
      </c>
      <c r="I17" s="20"/>
      <c r="J17" s="20" t="s">
        <v>2065</v>
      </c>
      <c r="K17" s="20" t="s">
        <v>2066</v>
      </c>
      <c r="L17" s="20" t="s">
        <v>529</v>
      </c>
      <c r="M17" s="20" t="s">
        <v>2023</v>
      </c>
      <c r="N17" s="20" t="s">
        <v>2058</v>
      </c>
      <c r="O17" s="20" t="s">
        <v>2059</v>
      </c>
      <c r="P17" s="20"/>
      <c r="Q17" s="20"/>
    </row>
    <row r="18" spans="1:17" x14ac:dyDescent="0.15">
      <c r="A18" s="20" t="s">
        <v>2002</v>
      </c>
      <c r="B18" s="20" t="s">
        <v>3035</v>
      </c>
      <c r="C18" s="20" t="s">
        <v>2023</v>
      </c>
      <c r="D18" s="20" t="s">
        <v>2058</v>
      </c>
      <c r="E18" s="20"/>
      <c r="F18" s="20" t="s">
        <v>3068</v>
      </c>
      <c r="G18" s="20" t="s">
        <v>3069</v>
      </c>
      <c r="H18" s="20" t="s">
        <v>529</v>
      </c>
      <c r="I18" s="20"/>
      <c r="J18" s="20" t="s">
        <v>2067</v>
      </c>
      <c r="K18" s="20" t="s">
        <v>2068</v>
      </c>
      <c r="L18" s="20" t="s">
        <v>529</v>
      </c>
      <c r="M18" s="20" t="s">
        <v>2023</v>
      </c>
      <c r="N18" s="20" t="s">
        <v>2058</v>
      </c>
      <c r="O18" s="20" t="s">
        <v>2059</v>
      </c>
      <c r="P18" s="20"/>
      <c r="Q18" s="20"/>
    </row>
    <row r="19" spans="1:17" x14ac:dyDescent="0.15">
      <c r="A19" s="20" t="s">
        <v>2002</v>
      </c>
      <c r="B19" s="20" t="s">
        <v>3035</v>
      </c>
      <c r="C19" s="20" t="s">
        <v>2023</v>
      </c>
      <c r="D19" s="20" t="s">
        <v>2058</v>
      </c>
      <c r="E19" s="20"/>
      <c r="F19" s="20" t="s">
        <v>3070</v>
      </c>
      <c r="G19" s="20" t="s">
        <v>3071</v>
      </c>
      <c r="H19" s="20" t="s">
        <v>529</v>
      </c>
      <c r="I19" s="20"/>
      <c r="J19" s="20" t="s">
        <v>2069</v>
      </c>
      <c r="K19" s="20" t="s">
        <v>159</v>
      </c>
      <c r="L19" s="20" t="s">
        <v>529</v>
      </c>
      <c r="M19" s="20" t="s">
        <v>2023</v>
      </c>
      <c r="N19" s="20" t="s">
        <v>2058</v>
      </c>
      <c r="O19" s="20" t="s">
        <v>2059</v>
      </c>
      <c r="P19" s="20"/>
      <c r="Q19" s="20"/>
    </row>
    <row r="20" spans="1:17" x14ac:dyDescent="0.15">
      <c r="A20" s="20" t="s">
        <v>2002</v>
      </c>
      <c r="B20" s="20" t="s">
        <v>3035</v>
      </c>
      <c r="C20" s="20" t="s">
        <v>2023</v>
      </c>
      <c r="D20" s="20" t="s">
        <v>2058</v>
      </c>
      <c r="E20" s="20"/>
      <c r="F20" s="20" t="s">
        <v>3072</v>
      </c>
      <c r="G20" s="20" t="s">
        <v>3073</v>
      </c>
      <c r="H20" s="20" t="s">
        <v>529</v>
      </c>
      <c r="I20" s="20"/>
      <c r="J20" s="20" t="s">
        <v>2070</v>
      </c>
      <c r="K20" s="20" t="s">
        <v>2071</v>
      </c>
      <c r="L20" s="20" t="s">
        <v>529</v>
      </c>
      <c r="M20" s="20" t="s">
        <v>2023</v>
      </c>
      <c r="N20" s="20" t="s">
        <v>2058</v>
      </c>
      <c r="O20" s="20" t="s">
        <v>2059</v>
      </c>
      <c r="P20" s="20"/>
      <c r="Q20" s="20"/>
    </row>
    <row r="21" spans="1:17" x14ac:dyDescent="0.15">
      <c r="A21" s="20" t="s">
        <v>2002</v>
      </c>
      <c r="B21" s="20" t="s">
        <v>3035</v>
      </c>
      <c r="C21" s="20" t="s">
        <v>2023</v>
      </c>
      <c r="D21" s="20" t="s">
        <v>2058</v>
      </c>
      <c r="E21" s="20"/>
      <c r="F21" s="20" t="s">
        <v>3074</v>
      </c>
      <c r="G21" s="20" t="s">
        <v>3075</v>
      </c>
      <c r="H21" s="20" t="s">
        <v>529</v>
      </c>
      <c r="I21" s="20"/>
      <c r="J21" s="20" t="s">
        <v>2072</v>
      </c>
      <c r="K21" s="20" t="s">
        <v>2057</v>
      </c>
      <c r="L21" s="20" t="s">
        <v>529</v>
      </c>
      <c r="M21" s="20" t="s">
        <v>2023</v>
      </c>
      <c r="N21" s="20" t="s">
        <v>2058</v>
      </c>
      <c r="O21" s="20" t="s">
        <v>2059</v>
      </c>
      <c r="P21" s="20"/>
      <c r="Q21" s="20"/>
    </row>
    <row r="22" spans="1:17" x14ac:dyDescent="0.15">
      <c r="A22" s="20" t="s">
        <v>2002</v>
      </c>
      <c r="B22" s="20" t="s">
        <v>3035</v>
      </c>
      <c r="C22" s="20" t="s">
        <v>2023</v>
      </c>
      <c r="D22" s="20" t="s">
        <v>2058</v>
      </c>
      <c r="E22" s="20"/>
      <c r="F22" s="20" t="s">
        <v>3076</v>
      </c>
      <c r="G22" s="20" t="s">
        <v>3077</v>
      </c>
      <c r="H22" s="20" t="s">
        <v>529</v>
      </c>
      <c r="I22" s="20"/>
      <c r="J22" s="20" t="s">
        <v>2073</v>
      </c>
      <c r="K22" s="20" t="s">
        <v>2063</v>
      </c>
      <c r="L22" s="20" t="s">
        <v>529</v>
      </c>
      <c r="M22" s="20" t="s">
        <v>2023</v>
      </c>
      <c r="N22" s="20" t="s">
        <v>2058</v>
      </c>
      <c r="O22" s="20" t="s">
        <v>2059</v>
      </c>
      <c r="P22" s="20"/>
      <c r="Q22" s="20"/>
    </row>
    <row r="23" spans="1:17" x14ac:dyDescent="0.15">
      <c r="A23" s="20" t="s">
        <v>2002</v>
      </c>
      <c r="B23" s="20" t="s">
        <v>3035</v>
      </c>
      <c r="C23" s="20" t="s">
        <v>2023</v>
      </c>
      <c r="D23" s="20" t="s">
        <v>2058</v>
      </c>
      <c r="E23" s="20"/>
      <c r="F23" s="20" t="s">
        <v>3078</v>
      </c>
      <c r="G23" s="20" t="s">
        <v>3079</v>
      </c>
      <c r="H23" s="20" t="s">
        <v>529</v>
      </c>
      <c r="I23" s="20"/>
      <c r="J23" s="20" t="s">
        <v>2074</v>
      </c>
      <c r="K23" s="20" t="s">
        <v>2075</v>
      </c>
      <c r="L23" s="20" t="s">
        <v>529</v>
      </c>
      <c r="M23" s="20" t="s">
        <v>2023</v>
      </c>
      <c r="N23" s="20" t="s">
        <v>2058</v>
      </c>
      <c r="O23" s="20" t="s">
        <v>2059</v>
      </c>
      <c r="P23" s="20"/>
      <c r="Q23" s="20"/>
    </row>
    <row r="24" spans="1:17" x14ac:dyDescent="0.15">
      <c r="A24" s="20" t="s">
        <v>2002</v>
      </c>
      <c r="B24" s="20" t="s">
        <v>3035</v>
      </c>
      <c r="C24" s="20" t="s">
        <v>2023</v>
      </c>
      <c r="D24" s="20" t="s">
        <v>2058</v>
      </c>
      <c r="E24" s="20"/>
      <c r="F24" s="20" t="s">
        <v>3080</v>
      </c>
      <c r="G24" s="20" t="s">
        <v>3081</v>
      </c>
      <c r="H24" s="20" t="s">
        <v>529</v>
      </c>
      <c r="I24" s="20"/>
      <c r="J24" s="20" t="s">
        <v>2076</v>
      </c>
      <c r="K24" s="20" t="s">
        <v>2077</v>
      </c>
      <c r="L24" s="20" t="s">
        <v>529</v>
      </c>
      <c r="M24" s="20" t="s">
        <v>2023</v>
      </c>
      <c r="N24" s="20" t="s">
        <v>2058</v>
      </c>
      <c r="O24" s="20" t="s">
        <v>2059</v>
      </c>
      <c r="P24" s="20"/>
      <c r="Q24" s="20"/>
    </row>
    <row r="25" spans="1:17" x14ac:dyDescent="0.15">
      <c r="A25" s="20" t="s">
        <v>2002</v>
      </c>
      <c r="B25" s="20" t="s">
        <v>3035</v>
      </c>
      <c r="C25" s="20" t="s">
        <v>2023</v>
      </c>
      <c r="D25" s="20" t="s">
        <v>2058</v>
      </c>
      <c r="E25" s="20"/>
      <c r="F25" s="20" t="s">
        <v>3082</v>
      </c>
      <c r="G25" s="20" t="s">
        <v>3083</v>
      </c>
      <c r="H25" s="20" t="s">
        <v>529</v>
      </c>
      <c r="I25" s="20"/>
      <c r="J25" s="20" t="s">
        <v>2078</v>
      </c>
      <c r="K25" s="20" t="s">
        <v>2079</v>
      </c>
      <c r="L25" s="20" t="s">
        <v>529</v>
      </c>
      <c r="M25" s="20" t="s">
        <v>2023</v>
      </c>
      <c r="N25" s="20" t="s">
        <v>2058</v>
      </c>
      <c r="O25" s="20" t="s">
        <v>2059</v>
      </c>
      <c r="P25" s="20"/>
      <c r="Q25" s="20"/>
    </row>
    <row r="26" spans="1:17" x14ac:dyDescent="0.15">
      <c r="A26" s="20" t="s">
        <v>2002</v>
      </c>
      <c r="B26" s="20" t="s">
        <v>3035</v>
      </c>
      <c r="C26" s="20" t="s">
        <v>2023</v>
      </c>
      <c r="D26" s="20" t="s">
        <v>2082</v>
      </c>
      <c r="E26" s="20"/>
      <c r="F26" s="20" t="s">
        <v>3084</v>
      </c>
      <c r="G26" s="20" t="s">
        <v>3085</v>
      </c>
      <c r="H26" s="20" t="s">
        <v>529</v>
      </c>
      <c r="I26" s="20"/>
      <c r="J26" s="20" t="s">
        <v>2080</v>
      </c>
      <c r="K26" s="20" t="s">
        <v>2081</v>
      </c>
      <c r="L26" s="20" t="s">
        <v>529</v>
      </c>
      <c r="M26" s="20" t="s">
        <v>2023</v>
      </c>
      <c r="N26" s="20" t="s">
        <v>2082</v>
      </c>
      <c r="O26" s="20" t="s">
        <v>2083</v>
      </c>
      <c r="P26" s="20"/>
      <c r="Q26" s="20"/>
    </row>
    <row r="27" spans="1:17" x14ac:dyDescent="0.15">
      <c r="A27" s="20" t="s">
        <v>2002</v>
      </c>
      <c r="B27" s="20" t="s">
        <v>3035</v>
      </c>
      <c r="C27" s="20" t="s">
        <v>2023</v>
      </c>
      <c r="D27" s="20" t="s">
        <v>2082</v>
      </c>
      <c r="E27" s="20"/>
      <c r="F27" s="20" t="s">
        <v>3086</v>
      </c>
      <c r="G27" s="20" t="s">
        <v>3087</v>
      </c>
      <c r="H27" s="20" t="s">
        <v>2086</v>
      </c>
      <c r="I27" s="20"/>
      <c r="J27" s="20" t="s">
        <v>2084</v>
      </c>
      <c r="K27" s="20" t="s">
        <v>2085</v>
      </c>
      <c r="L27" s="20" t="s">
        <v>2086</v>
      </c>
      <c r="M27" s="20" t="s">
        <v>2023</v>
      </c>
      <c r="N27" s="20" t="s">
        <v>2082</v>
      </c>
      <c r="O27" s="20" t="s">
        <v>2083</v>
      </c>
      <c r="P27" s="20"/>
      <c r="Q27" s="20"/>
    </row>
    <row r="28" spans="1:17" x14ac:dyDescent="0.15">
      <c r="A28" s="20" t="s">
        <v>2002</v>
      </c>
      <c r="B28" s="20" t="s">
        <v>3035</v>
      </c>
      <c r="C28" s="20" t="s">
        <v>2023</v>
      </c>
      <c r="D28" s="20" t="s">
        <v>2089</v>
      </c>
      <c r="E28" s="20"/>
      <c r="F28" s="20" t="s">
        <v>3088</v>
      </c>
      <c r="G28" s="20" t="s">
        <v>3089</v>
      </c>
      <c r="H28" s="20" t="s">
        <v>1810</v>
      </c>
      <c r="I28" s="20"/>
      <c r="J28" s="20" t="s">
        <v>2087</v>
      </c>
      <c r="K28" s="20" t="s">
        <v>2088</v>
      </c>
      <c r="L28" s="20" t="s">
        <v>1810</v>
      </c>
      <c r="M28" s="20" t="s">
        <v>2023</v>
      </c>
      <c r="N28" s="20" t="s">
        <v>2089</v>
      </c>
      <c r="O28" s="20" t="s">
        <v>2090</v>
      </c>
      <c r="P28" s="20"/>
      <c r="Q28" s="20"/>
    </row>
    <row r="29" spans="1:17" x14ac:dyDescent="0.15">
      <c r="A29" s="20" t="s">
        <v>2002</v>
      </c>
      <c r="B29" s="20" t="s">
        <v>3035</v>
      </c>
      <c r="C29" s="20" t="s">
        <v>2023</v>
      </c>
      <c r="D29" s="20" t="s">
        <v>2089</v>
      </c>
      <c r="E29" s="20"/>
      <c r="F29" s="20" t="s">
        <v>3090</v>
      </c>
      <c r="G29" s="20" t="s">
        <v>3091</v>
      </c>
      <c r="H29" s="20" t="s">
        <v>1803</v>
      </c>
      <c r="I29" s="20"/>
      <c r="J29" s="20" t="s">
        <v>2091</v>
      </c>
      <c r="K29" s="20" t="s">
        <v>2092</v>
      </c>
      <c r="L29" s="20" t="s">
        <v>1803</v>
      </c>
      <c r="M29" s="20" t="s">
        <v>2023</v>
      </c>
      <c r="N29" s="20" t="s">
        <v>2089</v>
      </c>
      <c r="O29" s="20" t="s">
        <v>2090</v>
      </c>
      <c r="P29" s="20"/>
      <c r="Q29" s="20"/>
    </row>
    <row r="30" spans="1:17" x14ac:dyDescent="0.15">
      <c r="A30" s="20" t="s">
        <v>2002</v>
      </c>
      <c r="B30" s="20" t="s">
        <v>3035</v>
      </c>
      <c r="C30" s="20" t="s">
        <v>2023</v>
      </c>
      <c r="D30" s="20" t="s">
        <v>2089</v>
      </c>
      <c r="E30" s="20"/>
      <c r="F30" s="20" t="s">
        <v>3092</v>
      </c>
      <c r="G30" s="20" t="s">
        <v>3093</v>
      </c>
      <c r="H30" s="20" t="s">
        <v>529</v>
      </c>
      <c r="I30" s="20"/>
      <c r="J30" s="20" t="s">
        <v>2093</v>
      </c>
      <c r="K30" s="20" t="s">
        <v>2094</v>
      </c>
      <c r="L30" s="20" t="s">
        <v>529</v>
      </c>
      <c r="M30" s="20" t="s">
        <v>2023</v>
      </c>
      <c r="N30" s="20" t="s">
        <v>2089</v>
      </c>
      <c r="O30" s="20" t="s">
        <v>2090</v>
      </c>
      <c r="P30" s="20"/>
      <c r="Q30" s="20"/>
    </row>
    <row r="31" spans="1:17" x14ac:dyDescent="0.15">
      <c r="A31" s="20" t="s">
        <v>2002</v>
      </c>
      <c r="B31" s="20" t="s">
        <v>3035</v>
      </c>
      <c r="C31" s="20" t="s">
        <v>2023</v>
      </c>
      <c r="D31" s="20" t="s">
        <v>2089</v>
      </c>
      <c r="E31" s="20"/>
      <c r="F31" s="20" t="s">
        <v>3094</v>
      </c>
      <c r="G31" s="20" t="s">
        <v>3095</v>
      </c>
      <c r="H31" s="20" t="s">
        <v>2052</v>
      </c>
      <c r="I31" s="20"/>
      <c r="J31" s="20" t="s">
        <v>2095</v>
      </c>
      <c r="K31" s="20" t="s">
        <v>2096</v>
      </c>
      <c r="L31" s="20" t="s">
        <v>2052</v>
      </c>
      <c r="M31" s="20" t="s">
        <v>2023</v>
      </c>
      <c r="N31" s="20" t="s">
        <v>2089</v>
      </c>
      <c r="O31" s="20" t="s">
        <v>2090</v>
      </c>
      <c r="P31" s="20"/>
      <c r="Q31" s="20"/>
    </row>
    <row r="32" spans="1:17" x14ac:dyDescent="0.15">
      <c r="A32" s="20" t="s">
        <v>2002</v>
      </c>
      <c r="B32" s="20" t="s">
        <v>3035</v>
      </c>
      <c r="C32" s="20" t="s">
        <v>2023</v>
      </c>
      <c r="D32" s="20" t="s">
        <v>2089</v>
      </c>
      <c r="E32" s="20"/>
      <c r="F32" s="20" t="s">
        <v>3096</v>
      </c>
      <c r="G32" s="20" t="s">
        <v>3097</v>
      </c>
      <c r="H32" s="20" t="s">
        <v>2099</v>
      </c>
      <c r="I32" s="20"/>
      <c r="J32" s="20" t="s">
        <v>2097</v>
      </c>
      <c r="K32" s="20" t="s">
        <v>2098</v>
      </c>
      <c r="L32" s="20" t="s">
        <v>2099</v>
      </c>
      <c r="M32" s="20" t="s">
        <v>2023</v>
      </c>
      <c r="N32" s="20" t="s">
        <v>2089</v>
      </c>
      <c r="O32" s="20" t="s">
        <v>2090</v>
      </c>
      <c r="P32" s="20"/>
      <c r="Q32" s="20"/>
    </row>
    <row r="33" spans="1:17" x14ac:dyDescent="0.15">
      <c r="A33" s="20" t="s">
        <v>2002</v>
      </c>
      <c r="B33" s="20" t="s">
        <v>3035</v>
      </c>
      <c r="C33" s="20" t="s">
        <v>2023</v>
      </c>
      <c r="D33" s="20" t="s">
        <v>2089</v>
      </c>
      <c r="E33" s="20"/>
      <c r="F33" s="20" t="s">
        <v>3098</v>
      </c>
      <c r="G33" s="20" t="s">
        <v>3099</v>
      </c>
      <c r="H33" s="20" t="s">
        <v>1810</v>
      </c>
      <c r="I33" s="20"/>
      <c r="J33" s="20" t="s">
        <v>2100</v>
      </c>
      <c r="K33" s="20" t="s">
        <v>2101</v>
      </c>
      <c r="L33" s="20" t="s">
        <v>1810</v>
      </c>
      <c r="M33" s="20" t="s">
        <v>2023</v>
      </c>
      <c r="N33" s="20" t="s">
        <v>2089</v>
      </c>
      <c r="O33" s="20" t="s">
        <v>2090</v>
      </c>
      <c r="P33" s="20"/>
      <c r="Q33" s="20"/>
    </row>
    <row r="34" spans="1:17" x14ac:dyDescent="0.15">
      <c r="A34" s="20" t="s">
        <v>2002</v>
      </c>
      <c r="B34" s="20" t="s">
        <v>3035</v>
      </c>
      <c r="C34" s="20" t="s">
        <v>2023</v>
      </c>
      <c r="D34" s="20" t="s">
        <v>2089</v>
      </c>
      <c r="E34" s="20"/>
      <c r="F34" s="20" t="s">
        <v>3100</v>
      </c>
      <c r="G34" s="20" t="s">
        <v>3101</v>
      </c>
      <c r="H34" s="20" t="s">
        <v>2052</v>
      </c>
      <c r="I34" s="20"/>
      <c r="J34" s="20" t="s">
        <v>2102</v>
      </c>
      <c r="K34" s="20" t="s">
        <v>2103</v>
      </c>
      <c r="L34" s="20" t="s">
        <v>2052</v>
      </c>
      <c r="M34" s="20" t="s">
        <v>2023</v>
      </c>
      <c r="N34" s="20" t="s">
        <v>2089</v>
      </c>
      <c r="O34" s="20" t="s">
        <v>2090</v>
      </c>
      <c r="P34" s="20"/>
      <c r="Q34" s="20"/>
    </row>
    <row r="35" spans="1:17" x14ac:dyDescent="0.15">
      <c r="A35" s="20" t="s">
        <v>2002</v>
      </c>
      <c r="B35" s="20" t="s">
        <v>3035</v>
      </c>
      <c r="C35" s="20" t="s">
        <v>2023</v>
      </c>
      <c r="D35" s="20" t="s">
        <v>2089</v>
      </c>
      <c r="E35" s="20"/>
      <c r="F35" s="20" t="s">
        <v>3102</v>
      </c>
      <c r="G35" s="20" t="s">
        <v>3103</v>
      </c>
      <c r="H35" s="20" t="s">
        <v>547</v>
      </c>
      <c r="I35" s="20"/>
      <c r="J35" s="20" t="s">
        <v>2104</v>
      </c>
      <c r="K35" s="20" t="s">
        <v>2105</v>
      </c>
      <c r="L35" s="20" t="s">
        <v>547</v>
      </c>
      <c r="M35" s="20" t="s">
        <v>2023</v>
      </c>
      <c r="N35" s="20" t="s">
        <v>2089</v>
      </c>
      <c r="O35" s="20" t="s">
        <v>2090</v>
      </c>
      <c r="P35" s="20"/>
      <c r="Q35" s="20"/>
    </row>
    <row r="36" spans="1:17" x14ac:dyDescent="0.15">
      <c r="A36" s="20" t="s">
        <v>2002</v>
      </c>
      <c r="B36" s="20" t="s">
        <v>3035</v>
      </c>
      <c r="C36" s="20" t="s">
        <v>2023</v>
      </c>
      <c r="D36" s="20" t="s">
        <v>2089</v>
      </c>
      <c r="E36" s="20"/>
      <c r="F36" s="20" t="s">
        <v>3104</v>
      </c>
      <c r="G36" s="20" t="s">
        <v>3105</v>
      </c>
      <c r="H36" s="20" t="s">
        <v>2099</v>
      </c>
      <c r="I36" s="20"/>
      <c r="J36" s="20" t="s">
        <v>2106</v>
      </c>
      <c r="K36" s="20" t="s">
        <v>2107</v>
      </c>
      <c r="L36" s="20" t="s">
        <v>2099</v>
      </c>
      <c r="M36" s="20" t="s">
        <v>2023</v>
      </c>
      <c r="N36" s="20" t="s">
        <v>2089</v>
      </c>
      <c r="O36" s="20" t="s">
        <v>2090</v>
      </c>
      <c r="P36" s="20"/>
      <c r="Q36" s="20"/>
    </row>
    <row r="37" spans="1:17" x14ac:dyDescent="0.15">
      <c r="A37" s="20" t="s">
        <v>2002</v>
      </c>
      <c r="B37" s="20" t="s">
        <v>3035</v>
      </c>
      <c r="C37" s="20" t="s">
        <v>2023</v>
      </c>
      <c r="D37" s="20" t="s">
        <v>2110</v>
      </c>
      <c r="E37" s="20"/>
      <c r="F37" s="20" t="s">
        <v>3106</v>
      </c>
      <c r="G37" s="20" t="s">
        <v>3107</v>
      </c>
      <c r="H37" s="20" t="s">
        <v>1803</v>
      </c>
      <c r="I37" s="20"/>
      <c r="J37" s="20" t="s">
        <v>2108</v>
      </c>
      <c r="K37" s="20" t="s">
        <v>2109</v>
      </c>
      <c r="L37" s="20" t="s">
        <v>1803</v>
      </c>
      <c r="M37" s="20" t="s">
        <v>2023</v>
      </c>
      <c r="N37" s="20" t="s">
        <v>2110</v>
      </c>
      <c r="O37" s="20" t="s">
        <v>2111</v>
      </c>
      <c r="P37" s="20" t="s">
        <v>166</v>
      </c>
      <c r="Q37" s="20"/>
    </row>
    <row r="38" spans="1:17" x14ac:dyDescent="0.15">
      <c r="A38" s="20" t="s">
        <v>2002</v>
      </c>
      <c r="B38" s="20" t="s">
        <v>3035</v>
      </c>
      <c r="C38" s="20" t="s">
        <v>2023</v>
      </c>
      <c r="D38" s="20" t="s">
        <v>2110</v>
      </c>
      <c r="E38" s="20"/>
      <c r="F38" s="20" t="s">
        <v>3108</v>
      </c>
      <c r="G38" s="20" t="s">
        <v>3109</v>
      </c>
      <c r="H38" s="20" t="s">
        <v>2052</v>
      </c>
      <c r="I38" s="20"/>
      <c r="J38" s="20" t="s">
        <v>2112</v>
      </c>
      <c r="K38" s="20" t="s">
        <v>2113</v>
      </c>
      <c r="L38" s="20" t="s">
        <v>2052</v>
      </c>
      <c r="M38" s="20" t="s">
        <v>2023</v>
      </c>
      <c r="N38" s="20" t="s">
        <v>2110</v>
      </c>
      <c r="O38" s="20" t="s">
        <v>2111</v>
      </c>
      <c r="P38" s="20"/>
      <c r="Q38" s="20"/>
    </row>
    <row r="39" spans="1:17" x14ac:dyDescent="0.15">
      <c r="A39" s="20" t="s">
        <v>2002</v>
      </c>
      <c r="B39" s="20" t="s">
        <v>3035</v>
      </c>
      <c r="C39" s="20" t="s">
        <v>2023</v>
      </c>
      <c r="D39" s="20" t="s">
        <v>2110</v>
      </c>
      <c r="E39" s="20"/>
      <c r="F39" s="20" t="s">
        <v>3110</v>
      </c>
      <c r="G39" s="20" t="s">
        <v>3111</v>
      </c>
      <c r="H39" s="20" t="s">
        <v>2116</v>
      </c>
      <c r="I39" s="20"/>
      <c r="J39" s="20" t="s">
        <v>2114</v>
      </c>
      <c r="K39" s="20" t="s">
        <v>2115</v>
      </c>
      <c r="L39" s="20" t="s">
        <v>2116</v>
      </c>
      <c r="M39" s="20" t="s">
        <v>2023</v>
      </c>
      <c r="N39" s="20" t="s">
        <v>2110</v>
      </c>
      <c r="O39" s="20" t="s">
        <v>2111</v>
      </c>
      <c r="P39" s="20" t="s">
        <v>166</v>
      </c>
      <c r="Q39" s="20"/>
    </row>
    <row r="40" spans="1:17" x14ac:dyDescent="0.15">
      <c r="A40" s="20" t="s">
        <v>2002</v>
      </c>
      <c r="B40" s="20" t="s">
        <v>3035</v>
      </c>
      <c r="C40" s="20" t="s">
        <v>2023</v>
      </c>
      <c r="D40" s="20" t="s">
        <v>2110</v>
      </c>
      <c r="E40" s="20"/>
      <c r="F40" s="20" t="s">
        <v>3112</v>
      </c>
      <c r="G40" s="20" t="s">
        <v>3113</v>
      </c>
      <c r="H40" s="20" t="s">
        <v>2119</v>
      </c>
      <c r="I40" s="20"/>
      <c r="J40" s="20" t="s">
        <v>2117</v>
      </c>
      <c r="K40" s="20" t="s">
        <v>2118</v>
      </c>
      <c r="L40" s="20" t="s">
        <v>2119</v>
      </c>
      <c r="M40" s="20" t="s">
        <v>2023</v>
      </c>
      <c r="N40" s="20" t="s">
        <v>2110</v>
      </c>
      <c r="O40" s="20" t="s">
        <v>2111</v>
      </c>
      <c r="P40" s="20" t="s">
        <v>166</v>
      </c>
      <c r="Q40" s="20"/>
    </row>
    <row r="41" spans="1:17" x14ac:dyDescent="0.15">
      <c r="A41" s="20" t="s">
        <v>2002</v>
      </c>
      <c r="B41" s="20" t="s">
        <v>3035</v>
      </c>
      <c r="C41" s="20" t="s">
        <v>2023</v>
      </c>
      <c r="D41" s="20" t="s">
        <v>2110</v>
      </c>
      <c r="E41" s="20"/>
      <c r="F41" s="20" t="s">
        <v>3114</v>
      </c>
      <c r="G41" s="20" t="s">
        <v>3115</v>
      </c>
      <c r="H41" s="20" t="s">
        <v>2122</v>
      </c>
      <c r="I41" s="20"/>
      <c r="J41" s="20" t="s">
        <v>2120</v>
      </c>
      <c r="K41" s="20" t="s">
        <v>2121</v>
      </c>
      <c r="L41" s="20" t="s">
        <v>2122</v>
      </c>
      <c r="M41" s="20" t="s">
        <v>2023</v>
      </c>
      <c r="N41" s="20" t="s">
        <v>2110</v>
      </c>
      <c r="O41" s="20" t="s">
        <v>2111</v>
      </c>
      <c r="P41" s="20"/>
      <c r="Q41" s="20"/>
    </row>
    <row r="42" spans="1:17" x14ac:dyDescent="0.15">
      <c r="A42" s="20" t="s">
        <v>2002</v>
      </c>
      <c r="B42" s="20" t="s">
        <v>3035</v>
      </c>
      <c r="C42" s="20" t="s">
        <v>2023</v>
      </c>
      <c r="D42" s="20" t="s">
        <v>2110</v>
      </c>
      <c r="E42" s="20"/>
      <c r="F42" s="20" t="s">
        <v>3116</v>
      </c>
      <c r="G42" s="20" t="s">
        <v>3117</v>
      </c>
      <c r="H42" s="20" t="s">
        <v>525</v>
      </c>
      <c r="I42" s="20"/>
      <c r="J42" s="20" t="s">
        <v>2123</v>
      </c>
      <c r="K42" s="20" t="s">
        <v>2124</v>
      </c>
      <c r="L42" s="20" t="s">
        <v>525</v>
      </c>
      <c r="M42" s="20" t="s">
        <v>2023</v>
      </c>
      <c r="N42" s="20" t="s">
        <v>2110</v>
      </c>
      <c r="O42" s="20" t="s">
        <v>2111</v>
      </c>
      <c r="P42" s="20" t="s">
        <v>166</v>
      </c>
      <c r="Q42" s="20"/>
    </row>
    <row r="43" spans="1:17" x14ac:dyDescent="0.15">
      <c r="A43" s="20" t="s">
        <v>2002</v>
      </c>
      <c r="B43" s="20" t="s">
        <v>3035</v>
      </c>
      <c r="C43" s="20" t="s">
        <v>2023</v>
      </c>
      <c r="D43" s="20" t="s">
        <v>2110</v>
      </c>
      <c r="E43" s="20"/>
      <c r="F43" s="20" t="s">
        <v>3118</v>
      </c>
      <c r="G43" s="20" t="s">
        <v>3119</v>
      </c>
      <c r="H43" s="20" t="s">
        <v>2122</v>
      </c>
      <c r="I43" s="20"/>
      <c r="J43" s="20" t="s">
        <v>2125</v>
      </c>
      <c r="K43" s="20" t="s">
        <v>2126</v>
      </c>
      <c r="L43" s="20" t="s">
        <v>2122</v>
      </c>
      <c r="M43" s="20" t="s">
        <v>2023</v>
      </c>
      <c r="N43" s="20" t="s">
        <v>2110</v>
      </c>
      <c r="O43" s="20" t="s">
        <v>2111</v>
      </c>
      <c r="P43" s="20"/>
      <c r="Q43" s="20"/>
    </row>
    <row r="44" spans="1:17" x14ac:dyDescent="0.15">
      <c r="A44" s="20" t="s">
        <v>2002</v>
      </c>
      <c r="B44" s="20" t="s">
        <v>3035</v>
      </c>
      <c r="C44" s="20" t="s">
        <v>2023</v>
      </c>
      <c r="D44" s="20" t="s">
        <v>2128</v>
      </c>
      <c r="E44" s="20"/>
      <c r="F44" s="20" t="s">
        <v>3120</v>
      </c>
      <c r="G44" s="20" t="s">
        <v>3121</v>
      </c>
      <c r="H44" s="20" t="s">
        <v>2055</v>
      </c>
      <c r="I44" s="20"/>
      <c r="J44" s="20" t="s">
        <v>2127</v>
      </c>
      <c r="K44" s="20" t="s">
        <v>477</v>
      </c>
      <c r="L44" s="20" t="s">
        <v>2055</v>
      </c>
      <c r="M44" s="20" t="s">
        <v>2023</v>
      </c>
      <c r="N44" s="20" t="s">
        <v>2128</v>
      </c>
      <c r="O44" s="20" t="s">
        <v>2129</v>
      </c>
      <c r="P44" s="20" t="s">
        <v>166</v>
      </c>
      <c r="Q44" s="20"/>
    </row>
    <row r="45" spans="1:17" x14ac:dyDescent="0.15">
      <c r="A45" s="20" t="s">
        <v>2002</v>
      </c>
      <c r="B45" s="20" t="s">
        <v>3035</v>
      </c>
      <c r="C45" s="20" t="s">
        <v>2023</v>
      </c>
      <c r="D45" s="20" t="s">
        <v>2128</v>
      </c>
      <c r="E45" s="20"/>
      <c r="F45" s="20" t="s">
        <v>3122</v>
      </c>
      <c r="G45" s="20" t="s">
        <v>3123</v>
      </c>
      <c r="H45" s="20" t="s">
        <v>529</v>
      </c>
      <c r="I45" s="20"/>
      <c r="J45" s="20" t="s">
        <v>2130</v>
      </c>
      <c r="K45" s="20" t="s">
        <v>379</v>
      </c>
      <c r="L45" s="20" t="s">
        <v>529</v>
      </c>
      <c r="M45" s="20" t="s">
        <v>2023</v>
      </c>
      <c r="N45" s="20" t="s">
        <v>2128</v>
      </c>
      <c r="O45" s="20" t="s">
        <v>2129</v>
      </c>
      <c r="P45" s="20" t="s">
        <v>166</v>
      </c>
      <c r="Q45" s="20"/>
    </row>
    <row r="46" spans="1:17" x14ac:dyDescent="0.15">
      <c r="A46" s="20" t="s">
        <v>2002</v>
      </c>
      <c r="B46" s="20" t="s">
        <v>3035</v>
      </c>
      <c r="C46" s="20" t="s">
        <v>2023</v>
      </c>
      <c r="D46" s="20" t="s">
        <v>2128</v>
      </c>
      <c r="E46" s="20"/>
      <c r="F46" s="20" t="s">
        <v>3124</v>
      </c>
      <c r="G46" s="20" t="s">
        <v>3125</v>
      </c>
      <c r="H46" s="20" t="s">
        <v>525</v>
      </c>
      <c r="I46" s="20"/>
      <c r="J46" s="20" t="s">
        <v>2131</v>
      </c>
      <c r="K46" s="20" t="s">
        <v>399</v>
      </c>
      <c r="L46" s="20" t="s">
        <v>525</v>
      </c>
      <c r="M46" s="20" t="s">
        <v>2023</v>
      </c>
      <c r="N46" s="20" t="s">
        <v>2128</v>
      </c>
      <c r="O46" s="20" t="s">
        <v>2129</v>
      </c>
      <c r="P46" s="20" t="s">
        <v>166</v>
      </c>
      <c r="Q46" s="20"/>
    </row>
    <row r="47" spans="1:17" x14ac:dyDescent="0.15">
      <c r="A47" s="20" t="s">
        <v>2002</v>
      </c>
      <c r="B47" s="20" t="s">
        <v>3035</v>
      </c>
      <c r="C47" s="20" t="s">
        <v>2023</v>
      </c>
      <c r="D47" s="20" t="s">
        <v>2128</v>
      </c>
      <c r="E47" s="20"/>
      <c r="F47" s="20" t="s">
        <v>3126</v>
      </c>
      <c r="G47" s="20" t="s">
        <v>3127</v>
      </c>
      <c r="H47" s="20" t="s">
        <v>529</v>
      </c>
      <c r="I47" s="20"/>
      <c r="J47" s="20" t="s">
        <v>2132</v>
      </c>
      <c r="K47" s="20" t="s">
        <v>190</v>
      </c>
      <c r="L47" s="20" t="s">
        <v>529</v>
      </c>
      <c r="M47" s="20" t="s">
        <v>2023</v>
      </c>
      <c r="N47" s="20" t="s">
        <v>2128</v>
      </c>
      <c r="O47" s="20" t="s">
        <v>2129</v>
      </c>
      <c r="P47" s="20" t="s">
        <v>166</v>
      </c>
      <c r="Q47" s="20"/>
    </row>
    <row r="48" spans="1:17" x14ac:dyDescent="0.15">
      <c r="A48" s="20" t="s">
        <v>2002</v>
      </c>
      <c r="B48" s="20" t="s">
        <v>3035</v>
      </c>
      <c r="C48" s="20" t="s">
        <v>2023</v>
      </c>
      <c r="D48" s="20" t="s">
        <v>2128</v>
      </c>
      <c r="E48" s="20"/>
      <c r="F48" s="20" t="s">
        <v>3128</v>
      </c>
      <c r="G48" s="20" t="s">
        <v>3129</v>
      </c>
      <c r="H48" s="20" t="s">
        <v>1810</v>
      </c>
      <c r="I48" s="20"/>
      <c r="J48" s="20" t="s">
        <v>2133</v>
      </c>
      <c r="K48" s="20" t="s">
        <v>289</v>
      </c>
      <c r="L48" s="20" t="s">
        <v>1810</v>
      </c>
      <c r="M48" s="20" t="s">
        <v>2023</v>
      </c>
      <c r="N48" s="20" t="s">
        <v>2128</v>
      </c>
      <c r="O48" s="20" t="s">
        <v>2129</v>
      </c>
      <c r="P48" s="20" t="s">
        <v>166</v>
      </c>
      <c r="Q48" s="20"/>
    </row>
    <row r="49" spans="1:17" x14ac:dyDescent="0.15">
      <c r="A49" s="20" t="s">
        <v>2002</v>
      </c>
      <c r="B49" s="20" t="s">
        <v>3035</v>
      </c>
      <c r="C49" s="20" t="s">
        <v>2023</v>
      </c>
      <c r="D49" s="20" t="s">
        <v>2128</v>
      </c>
      <c r="E49" s="20"/>
      <c r="F49" s="20" t="s">
        <v>3130</v>
      </c>
      <c r="G49" s="20" t="s">
        <v>3131</v>
      </c>
      <c r="H49" s="20" t="s">
        <v>2135</v>
      </c>
      <c r="I49" s="20"/>
      <c r="J49" s="20" t="s">
        <v>2134</v>
      </c>
      <c r="K49" s="20" t="s">
        <v>285</v>
      </c>
      <c r="L49" s="20" t="s">
        <v>2135</v>
      </c>
      <c r="M49" s="20" t="s">
        <v>2023</v>
      </c>
      <c r="N49" s="20" t="s">
        <v>2128</v>
      </c>
      <c r="O49" s="20" t="s">
        <v>2129</v>
      </c>
      <c r="P49" s="20" t="s">
        <v>166</v>
      </c>
      <c r="Q49" s="20"/>
    </row>
    <row r="50" spans="1:17" x14ac:dyDescent="0.15">
      <c r="A50" s="20" t="s">
        <v>2002</v>
      </c>
      <c r="B50" s="20" t="s">
        <v>3035</v>
      </c>
      <c r="C50" s="20" t="s">
        <v>2023</v>
      </c>
      <c r="D50" s="20" t="s">
        <v>2128</v>
      </c>
      <c r="E50" s="20"/>
      <c r="F50" s="20" t="s">
        <v>3132</v>
      </c>
      <c r="G50" s="20" t="s">
        <v>3133</v>
      </c>
      <c r="H50" s="20" t="s">
        <v>2137</v>
      </c>
      <c r="I50" s="20"/>
      <c r="J50" s="20" t="s">
        <v>2136</v>
      </c>
      <c r="K50" s="20" t="s">
        <v>303</v>
      </c>
      <c r="L50" s="20" t="s">
        <v>2137</v>
      </c>
      <c r="M50" s="20" t="s">
        <v>2023</v>
      </c>
      <c r="N50" s="20" t="s">
        <v>2128</v>
      </c>
      <c r="O50" s="20" t="s">
        <v>2129</v>
      </c>
      <c r="P50" s="20"/>
      <c r="Q50" s="20"/>
    </row>
    <row r="51" spans="1:17" x14ac:dyDescent="0.15">
      <c r="A51" s="20" t="s">
        <v>2002</v>
      </c>
      <c r="B51" s="20" t="s">
        <v>3035</v>
      </c>
      <c r="C51" s="20" t="s">
        <v>2023</v>
      </c>
      <c r="D51" s="20" t="s">
        <v>2128</v>
      </c>
      <c r="E51" s="20"/>
      <c r="F51" s="20" t="s">
        <v>3134</v>
      </c>
      <c r="G51" s="20" t="s">
        <v>3135</v>
      </c>
      <c r="H51" s="20" t="s">
        <v>1810</v>
      </c>
      <c r="I51" s="20"/>
      <c r="J51" s="20" t="s">
        <v>2138</v>
      </c>
      <c r="K51" s="20" t="s">
        <v>301</v>
      </c>
      <c r="L51" s="20" t="s">
        <v>1810</v>
      </c>
      <c r="M51" s="20" t="s">
        <v>2023</v>
      </c>
      <c r="N51" s="20" t="s">
        <v>2128</v>
      </c>
      <c r="O51" s="20" t="s">
        <v>2129</v>
      </c>
      <c r="P51" s="20" t="s">
        <v>166</v>
      </c>
      <c r="Q51" s="20"/>
    </row>
    <row r="52" spans="1:17" x14ac:dyDescent="0.15">
      <c r="A52" s="20" t="s">
        <v>2002</v>
      </c>
      <c r="B52" s="20" t="s">
        <v>3035</v>
      </c>
      <c r="C52" s="20" t="s">
        <v>2023</v>
      </c>
      <c r="D52" s="20" t="s">
        <v>2128</v>
      </c>
      <c r="E52" s="20"/>
      <c r="F52" s="20" t="s">
        <v>3136</v>
      </c>
      <c r="G52" s="20" t="s">
        <v>3137</v>
      </c>
      <c r="H52" s="20" t="s">
        <v>2040</v>
      </c>
      <c r="I52" s="20"/>
      <c r="J52" s="20" t="s">
        <v>2139</v>
      </c>
      <c r="K52" s="20" t="s">
        <v>381</v>
      </c>
      <c r="L52" s="20" t="s">
        <v>2040</v>
      </c>
      <c r="M52" s="20" t="s">
        <v>2023</v>
      </c>
      <c r="N52" s="20" t="s">
        <v>2128</v>
      </c>
      <c r="O52" s="20" t="s">
        <v>2129</v>
      </c>
      <c r="P52" s="20" t="s">
        <v>166</v>
      </c>
      <c r="Q52" s="20"/>
    </row>
    <row r="53" spans="1:17" x14ac:dyDescent="0.15">
      <c r="A53" s="20" t="s">
        <v>2002</v>
      </c>
      <c r="B53" s="20" t="s">
        <v>3035</v>
      </c>
      <c r="C53" s="20" t="s">
        <v>2023</v>
      </c>
      <c r="D53" s="20" t="s">
        <v>2128</v>
      </c>
      <c r="E53" s="20"/>
      <c r="F53" s="20" t="s">
        <v>3138</v>
      </c>
      <c r="G53" s="20" t="s">
        <v>3139</v>
      </c>
      <c r="H53" s="20" t="s">
        <v>2040</v>
      </c>
      <c r="I53" s="20"/>
      <c r="J53" s="20" t="s">
        <v>2140</v>
      </c>
      <c r="K53" s="20" t="s">
        <v>2141</v>
      </c>
      <c r="L53" s="20" t="s">
        <v>2040</v>
      </c>
      <c r="M53" s="20" t="s">
        <v>2023</v>
      </c>
      <c r="N53" s="20" t="s">
        <v>2128</v>
      </c>
      <c r="O53" s="20" t="s">
        <v>2129</v>
      </c>
      <c r="P53" s="20"/>
      <c r="Q53" s="20"/>
    </row>
    <row r="54" spans="1:17" x14ac:dyDescent="0.15">
      <c r="A54" s="20" t="s">
        <v>2002</v>
      </c>
      <c r="B54" s="20" t="s">
        <v>3035</v>
      </c>
      <c r="C54" s="20" t="s">
        <v>2023</v>
      </c>
      <c r="D54" s="20" t="s">
        <v>2128</v>
      </c>
      <c r="E54" s="20"/>
      <c r="F54" s="20" t="s">
        <v>3140</v>
      </c>
      <c r="G54" s="20" t="s">
        <v>3141</v>
      </c>
      <c r="H54" s="20" t="s">
        <v>2144</v>
      </c>
      <c r="I54" s="20"/>
      <c r="J54" s="20" t="s">
        <v>2142</v>
      </c>
      <c r="K54" s="20" t="s">
        <v>2143</v>
      </c>
      <c r="L54" s="20" t="s">
        <v>2144</v>
      </c>
      <c r="M54" s="20" t="s">
        <v>2023</v>
      </c>
      <c r="N54" s="20" t="s">
        <v>2128</v>
      </c>
      <c r="O54" s="20" t="s">
        <v>2129</v>
      </c>
      <c r="P54" s="20"/>
      <c r="Q54" s="20"/>
    </row>
    <row r="55" spans="1:17" x14ac:dyDescent="0.15">
      <c r="A55" s="20" t="s">
        <v>2002</v>
      </c>
      <c r="B55" s="20" t="s">
        <v>3035</v>
      </c>
      <c r="C55" s="20" t="s">
        <v>2023</v>
      </c>
      <c r="D55" s="20" t="s">
        <v>2147</v>
      </c>
      <c r="E55" s="20"/>
      <c r="F55" s="20" t="s">
        <v>3142</v>
      </c>
      <c r="G55" s="20" t="s">
        <v>3143</v>
      </c>
      <c r="H55" s="20" t="s">
        <v>2146</v>
      </c>
      <c r="I55" s="20"/>
      <c r="J55" s="20" t="s">
        <v>2145</v>
      </c>
      <c r="K55" s="20" t="s">
        <v>479</v>
      </c>
      <c r="L55" s="20" t="s">
        <v>2146</v>
      </c>
      <c r="M55" s="20" t="s">
        <v>2023</v>
      </c>
      <c r="N55" s="20" t="s">
        <v>2147</v>
      </c>
      <c r="O55" s="20" t="s">
        <v>2148</v>
      </c>
      <c r="P55" s="20"/>
      <c r="Q55" s="20"/>
    </row>
    <row r="56" spans="1:17" x14ac:dyDescent="0.15">
      <c r="A56" s="20" t="s">
        <v>2002</v>
      </c>
      <c r="B56" s="20" t="s">
        <v>3035</v>
      </c>
      <c r="C56" s="20" t="s">
        <v>2023</v>
      </c>
      <c r="D56" s="20" t="s">
        <v>2147</v>
      </c>
      <c r="E56" s="20"/>
      <c r="F56" s="20" t="s">
        <v>3144</v>
      </c>
      <c r="G56" s="20" t="s">
        <v>3145</v>
      </c>
      <c r="H56" s="20" t="s">
        <v>529</v>
      </c>
      <c r="I56" s="20"/>
      <c r="J56" s="20" t="s">
        <v>1709</v>
      </c>
      <c r="K56" s="20" t="s">
        <v>379</v>
      </c>
      <c r="L56" s="20" t="s">
        <v>529</v>
      </c>
      <c r="M56" s="20" t="s">
        <v>2023</v>
      </c>
      <c r="N56" s="20" t="s">
        <v>2147</v>
      </c>
      <c r="O56" s="20" t="s">
        <v>2148</v>
      </c>
      <c r="P56" s="20"/>
      <c r="Q56" s="20"/>
    </row>
    <row r="57" spans="1:17" x14ac:dyDescent="0.15">
      <c r="A57" s="20" t="s">
        <v>2002</v>
      </c>
      <c r="B57" s="20" t="s">
        <v>3035</v>
      </c>
      <c r="C57" s="20" t="s">
        <v>2023</v>
      </c>
      <c r="D57" s="20" t="s">
        <v>2147</v>
      </c>
      <c r="E57" s="20"/>
      <c r="F57" s="20" t="s">
        <v>3146</v>
      </c>
      <c r="G57" s="20" t="s">
        <v>3147</v>
      </c>
      <c r="H57" s="20" t="s">
        <v>533</v>
      </c>
      <c r="I57" s="20"/>
      <c r="J57" s="20" t="s">
        <v>1710</v>
      </c>
      <c r="K57" s="20" t="s">
        <v>2149</v>
      </c>
      <c r="L57" s="20" t="s">
        <v>533</v>
      </c>
      <c r="M57" s="20" t="s">
        <v>2023</v>
      </c>
      <c r="N57" s="20" t="s">
        <v>2147</v>
      </c>
      <c r="O57" s="20" t="s">
        <v>2148</v>
      </c>
      <c r="P57" s="20"/>
      <c r="Q57" s="20"/>
    </row>
    <row r="58" spans="1:17" x14ac:dyDescent="0.15">
      <c r="A58" s="20" t="s">
        <v>2002</v>
      </c>
      <c r="B58" s="20" t="s">
        <v>3035</v>
      </c>
      <c r="C58" s="20" t="s">
        <v>2023</v>
      </c>
      <c r="D58" s="20" t="s">
        <v>2147</v>
      </c>
      <c r="E58" s="20"/>
      <c r="F58" s="20" t="s">
        <v>3148</v>
      </c>
      <c r="G58" s="20" t="s">
        <v>3149</v>
      </c>
      <c r="H58" s="20" t="s">
        <v>525</v>
      </c>
      <c r="I58" s="20"/>
      <c r="J58" s="20" t="s">
        <v>1711</v>
      </c>
      <c r="K58" s="20" t="s">
        <v>2150</v>
      </c>
      <c r="L58" s="20" t="s">
        <v>525</v>
      </c>
      <c r="M58" s="20" t="s">
        <v>2023</v>
      </c>
      <c r="N58" s="20" t="s">
        <v>2147</v>
      </c>
      <c r="O58" s="20" t="s">
        <v>2148</v>
      </c>
      <c r="P58" s="20"/>
      <c r="Q58" s="20"/>
    </row>
    <row r="59" spans="1:17" x14ac:dyDescent="0.15">
      <c r="A59" s="20" t="s">
        <v>2002</v>
      </c>
      <c r="B59" s="20" t="s">
        <v>3035</v>
      </c>
      <c r="C59" s="20" t="s">
        <v>2023</v>
      </c>
      <c r="D59" s="20" t="s">
        <v>2147</v>
      </c>
      <c r="E59" s="20"/>
      <c r="F59" s="20" t="s">
        <v>3150</v>
      </c>
      <c r="G59" s="20" t="s">
        <v>3151</v>
      </c>
      <c r="H59" s="20" t="s">
        <v>525</v>
      </c>
      <c r="I59" s="20"/>
      <c r="J59" s="20" t="s">
        <v>1712</v>
      </c>
      <c r="K59" s="20" t="s">
        <v>2151</v>
      </c>
      <c r="L59" s="20" t="s">
        <v>525</v>
      </c>
      <c r="M59" s="20" t="s">
        <v>2023</v>
      </c>
      <c r="N59" s="20" t="s">
        <v>2147</v>
      </c>
      <c r="O59" s="20" t="s">
        <v>2148</v>
      </c>
      <c r="P59" s="20"/>
      <c r="Q59" s="20"/>
    </row>
    <row r="60" spans="1:17" x14ac:dyDescent="0.15">
      <c r="A60" s="20" t="s">
        <v>2002</v>
      </c>
      <c r="B60" s="20" t="s">
        <v>3035</v>
      </c>
      <c r="C60" s="20" t="s">
        <v>2023</v>
      </c>
      <c r="D60" s="20" t="s">
        <v>2147</v>
      </c>
      <c r="E60" s="20"/>
      <c r="F60" s="20" t="s">
        <v>3152</v>
      </c>
      <c r="G60" s="20" t="s">
        <v>3153</v>
      </c>
      <c r="H60" s="20" t="s">
        <v>2146</v>
      </c>
      <c r="I60" s="20"/>
      <c r="J60" s="20" t="s">
        <v>1713</v>
      </c>
      <c r="K60" s="20" t="s">
        <v>2152</v>
      </c>
      <c r="L60" s="20" t="s">
        <v>2146</v>
      </c>
      <c r="M60" s="20" t="s">
        <v>2023</v>
      </c>
      <c r="N60" s="20" t="s">
        <v>2147</v>
      </c>
      <c r="O60" s="20" t="s">
        <v>2148</v>
      </c>
      <c r="P60" s="20"/>
      <c r="Q60" s="20"/>
    </row>
    <row r="61" spans="1:17" x14ac:dyDescent="0.15">
      <c r="A61" s="20" t="s">
        <v>2002</v>
      </c>
      <c r="B61" s="20" t="s">
        <v>3035</v>
      </c>
      <c r="C61" s="20" t="s">
        <v>2023</v>
      </c>
      <c r="D61" s="20" t="s">
        <v>2147</v>
      </c>
      <c r="E61" s="20"/>
      <c r="F61" s="20" t="s">
        <v>3154</v>
      </c>
      <c r="G61" s="20" t="s">
        <v>3155</v>
      </c>
      <c r="H61" s="20" t="s">
        <v>1810</v>
      </c>
      <c r="I61" s="20"/>
      <c r="J61" s="20" t="s">
        <v>1714</v>
      </c>
      <c r="K61" s="20" t="s">
        <v>301</v>
      </c>
      <c r="L61" s="20" t="s">
        <v>1810</v>
      </c>
      <c r="M61" s="20" t="s">
        <v>2023</v>
      </c>
      <c r="N61" s="20" t="s">
        <v>2147</v>
      </c>
      <c r="O61" s="20" t="s">
        <v>2148</v>
      </c>
      <c r="P61" s="20"/>
      <c r="Q61" s="20"/>
    </row>
    <row r="62" spans="1:17" x14ac:dyDescent="0.15">
      <c r="A62" s="20" t="s">
        <v>2002</v>
      </c>
      <c r="B62" s="20" t="s">
        <v>3035</v>
      </c>
      <c r="C62" s="20" t="s">
        <v>2023</v>
      </c>
      <c r="D62" s="20" t="s">
        <v>2147</v>
      </c>
      <c r="E62" s="20"/>
      <c r="F62" s="20" t="s">
        <v>3156</v>
      </c>
      <c r="G62" s="20" t="s">
        <v>3157</v>
      </c>
      <c r="H62" s="20" t="s">
        <v>1818</v>
      </c>
      <c r="I62" s="20"/>
      <c r="J62" s="20" t="s">
        <v>1715</v>
      </c>
      <c r="K62" s="20" t="s">
        <v>2153</v>
      </c>
      <c r="L62" s="20" t="s">
        <v>1818</v>
      </c>
      <c r="M62" s="20" t="s">
        <v>2023</v>
      </c>
      <c r="N62" s="20" t="s">
        <v>2147</v>
      </c>
      <c r="O62" s="20" t="s">
        <v>2148</v>
      </c>
      <c r="P62" s="20"/>
      <c r="Q62" s="20"/>
    </row>
    <row r="63" spans="1:17" x14ac:dyDescent="0.15">
      <c r="A63" s="20" t="s">
        <v>2002</v>
      </c>
      <c r="B63" s="20" t="s">
        <v>3035</v>
      </c>
      <c r="C63" s="20" t="s">
        <v>2155</v>
      </c>
      <c r="D63" s="20" t="s">
        <v>2156</v>
      </c>
      <c r="E63" s="20"/>
      <c r="F63" s="20" t="s">
        <v>3158</v>
      </c>
      <c r="G63" s="20" t="s">
        <v>3159</v>
      </c>
      <c r="H63" s="20" t="s">
        <v>2154</v>
      </c>
      <c r="I63" s="20"/>
      <c r="J63" s="20" t="s">
        <v>1716</v>
      </c>
      <c r="K63" s="20" t="s">
        <v>2154</v>
      </c>
      <c r="L63" s="20" t="s">
        <v>2154</v>
      </c>
      <c r="M63" s="20" t="s">
        <v>2155</v>
      </c>
      <c r="N63" s="20" t="s">
        <v>2156</v>
      </c>
      <c r="O63" s="20" t="s">
        <v>2157</v>
      </c>
      <c r="P63" s="20" t="s">
        <v>166</v>
      </c>
      <c r="Q63" s="20"/>
    </row>
    <row r="64" spans="1:17" x14ac:dyDescent="0.15">
      <c r="A64" s="20" t="s">
        <v>2002</v>
      </c>
      <c r="B64" s="20" t="s">
        <v>3035</v>
      </c>
      <c r="C64" s="20" t="s">
        <v>2155</v>
      </c>
      <c r="D64" s="20" t="s">
        <v>2156</v>
      </c>
      <c r="E64" s="20"/>
      <c r="F64" s="20" t="s">
        <v>3160</v>
      </c>
      <c r="G64" s="20" t="s">
        <v>3161</v>
      </c>
      <c r="H64" s="20" t="s">
        <v>2158</v>
      </c>
      <c r="I64" s="20"/>
      <c r="J64" s="20" t="s">
        <v>1717</v>
      </c>
      <c r="K64" s="20" t="s">
        <v>2158</v>
      </c>
      <c r="L64" s="20" t="s">
        <v>2158</v>
      </c>
      <c r="M64" s="20" t="s">
        <v>2155</v>
      </c>
      <c r="N64" s="20" t="s">
        <v>2156</v>
      </c>
      <c r="O64" s="20" t="s">
        <v>2157</v>
      </c>
      <c r="P64" s="20" t="s">
        <v>166</v>
      </c>
      <c r="Q64" s="20"/>
    </row>
    <row r="65" spans="1:17" x14ac:dyDescent="0.15">
      <c r="A65" s="20" t="s">
        <v>2002</v>
      </c>
      <c r="B65" s="20" t="s">
        <v>3035</v>
      </c>
      <c r="C65" s="20" t="s">
        <v>2155</v>
      </c>
      <c r="D65" s="20" t="s">
        <v>2156</v>
      </c>
      <c r="E65" s="20"/>
      <c r="F65" s="20" t="s">
        <v>3162</v>
      </c>
      <c r="G65" s="20" t="s">
        <v>3163</v>
      </c>
      <c r="H65" s="20" t="s">
        <v>397</v>
      </c>
      <c r="I65" s="20"/>
      <c r="J65" s="20" t="s">
        <v>2159</v>
      </c>
      <c r="K65" s="20" t="s">
        <v>397</v>
      </c>
      <c r="L65" s="20" t="s">
        <v>397</v>
      </c>
      <c r="M65" s="20" t="s">
        <v>2155</v>
      </c>
      <c r="N65" s="20" t="s">
        <v>2156</v>
      </c>
      <c r="O65" s="20" t="s">
        <v>2157</v>
      </c>
      <c r="P65" s="20" t="s">
        <v>166</v>
      </c>
      <c r="Q65" s="20"/>
    </row>
    <row r="66" spans="1:17" x14ac:dyDescent="0.15">
      <c r="A66" s="20" t="s">
        <v>2002</v>
      </c>
      <c r="B66" s="20" t="s">
        <v>3035</v>
      </c>
      <c r="C66" s="20" t="s">
        <v>2155</v>
      </c>
      <c r="D66" s="20" t="s">
        <v>2156</v>
      </c>
      <c r="E66" s="20"/>
      <c r="F66" s="20" t="s">
        <v>3164</v>
      </c>
      <c r="G66" s="20" t="s">
        <v>3165</v>
      </c>
      <c r="H66" s="20" t="s">
        <v>2161</v>
      </c>
      <c r="I66" s="20"/>
      <c r="J66" s="20" t="s">
        <v>2160</v>
      </c>
      <c r="K66" s="20" t="s">
        <v>2161</v>
      </c>
      <c r="L66" s="20" t="s">
        <v>2161</v>
      </c>
      <c r="M66" s="20" t="s">
        <v>2155</v>
      </c>
      <c r="N66" s="20" t="s">
        <v>2156</v>
      </c>
      <c r="O66" s="20" t="s">
        <v>2157</v>
      </c>
      <c r="P66" s="20" t="s">
        <v>166</v>
      </c>
      <c r="Q66" s="20"/>
    </row>
    <row r="67" spans="1:17" x14ac:dyDescent="0.15">
      <c r="A67" s="20" t="s">
        <v>2002</v>
      </c>
      <c r="B67" s="20" t="s">
        <v>3035</v>
      </c>
      <c r="C67" s="20" t="s">
        <v>2155</v>
      </c>
      <c r="D67" s="20" t="s">
        <v>2156</v>
      </c>
      <c r="E67" s="20"/>
      <c r="F67" s="20" t="s">
        <v>3166</v>
      </c>
      <c r="G67" s="20" t="s">
        <v>3167</v>
      </c>
      <c r="H67" s="20" t="s">
        <v>2163</v>
      </c>
      <c r="I67" s="20"/>
      <c r="J67" s="20" t="s">
        <v>2162</v>
      </c>
      <c r="K67" s="20" t="s">
        <v>2163</v>
      </c>
      <c r="L67" s="20" t="s">
        <v>2163</v>
      </c>
      <c r="M67" s="20" t="s">
        <v>2155</v>
      </c>
      <c r="N67" s="20" t="s">
        <v>2156</v>
      </c>
      <c r="O67" s="20" t="s">
        <v>2157</v>
      </c>
      <c r="P67" s="20" t="s">
        <v>166</v>
      </c>
      <c r="Q67" s="20"/>
    </row>
    <row r="68" spans="1:17" x14ac:dyDescent="0.15">
      <c r="A68" s="20" t="s">
        <v>2002</v>
      </c>
      <c r="B68" s="20" t="s">
        <v>3035</v>
      </c>
      <c r="C68" s="20" t="s">
        <v>2155</v>
      </c>
      <c r="D68" s="20" t="s">
        <v>2166</v>
      </c>
      <c r="E68" s="20"/>
      <c r="F68" s="20" t="s">
        <v>3168</v>
      </c>
      <c r="G68" s="20" t="s">
        <v>3169</v>
      </c>
      <c r="H68" s="20" t="s">
        <v>2165</v>
      </c>
      <c r="I68" s="20"/>
      <c r="J68" s="20" t="s">
        <v>2164</v>
      </c>
      <c r="K68" s="20" t="s">
        <v>2165</v>
      </c>
      <c r="L68" s="20" t="s">
        <v>2165</v>
      </c>
      <c r="M68" s="20" t="s">
        <v>2155</v>
      </c>
      <c r="N68" s="20" t="s">
        <v>2166</v>
      </c>
      <c r="O68" s="20" t="s">
        <v>2167</v>
      </c>
      <c r="P68" s="20" t="s">
        <v>166</v>
      </c>
      <c r="Q68" s="20"/>
    </row>
    <row r="69" spans="1:17" x14ac:dyDescent="0.15">
      <c r="A69" s="20" t="s">
        <v>2002</v>
      </c>
      <c r="B69" s="20" t="s">
        <v>3035</v>
      </c>
      <c r="C69" s="20" t="s">
        <v>2155</v>
      </c>
      <c r="D69" s="20" t="s">
        <v>2166</v>
      </c>
      <c r="E69" s="20"/>
      <c r="F69" s="20" t="s">
        <v>3170</v>
      </c>
      <c r="G69" s="20" t="s">
        <v>3171</v>
      </c>
      <c r="H69" s="20" t="s">
        <v>2169</v>
      </c>
      <c r="I69" s="20"/>
      <c r="J69" s="20" t="s">
        <v>2168</v>
      </c>
      <c r="K69" s="20" t="s">
        <v>2169</v>
      </c>
      <c r="L69" s="20" t="s">
        <v>2169</v>
      </c>
      <c r="M69" s="20" t="s">
        <v>2155</v>
      </c>
      <c r="N69" s="20" t="s">
        <v>2166</v>
      </c>
      <c r="O69" s="20" t="s">
        <v>2167</v>
      </c>
      <c r="P69" s="20" t="s">
        <v>166</v>
      </c>
      <c r="Q69" s="20"/>
    </row>
    <row r="70" spans="1:17" x14ac:dyDescent="0.15">
      <c r="A70" s="20" t="s">
        <v>2002</v>
      </c>
      <c r="B70" s="20" t="s">
        <v>3035</v>
      </c>
      <c r="C70" s="20" t="s">
        <v>2155</v>
      </c>
      <c r="D70" s="20" t="s">
        <v>2166</v>
      </c>
      <c r="E70" s="20"/>
      <c r="F70" s="20" t="s">
        <v>3172</v>
      </c>
      <c r="G70" s="20" t="s">
        <v>3173</v>
      </c>
      <c r="H70" s="20" t="s">
        <v>2171</v>
      </c>
      <c r="I70" s="20"/>
      <c r="J70" s="20" t="s">
        <v>2170</v>
      </c>
      <c r="K70" s="20" t="s">
        <v>2171</v>
      </c>
      <c r="L70" s="20" t="s">
        <v>2171</v>
      </c>
      <c r="M70" s="20" t="s">
        <v>2155</v>
      </c>
      <c r="N70" s="20" t="s">
        <v>2166</v>
      </c>
      <c r="O70" s="20" t="s">
        <v>2167</v>
      </c>
      <c r="P70" s="20" t="s">
        <v>166</v>
      </c>
      <c r="Q70" s="20"/>
    </row>
    <row r="71" spans="1:17" x14ac:dyDescent="0.15">
      <c r="A71" s="20" t="s">
        <v>2002</v>
      </c>
      <c r="B71" s="20" t="s">
        <v>3035</v>
      </c>
      <c r="C71" s="20" t="s">
        <v>2155</v>
      </c>
      <c r="D71" s="20" t="s">
        <v>2166</v>
      </c>
      <c r="E71" s="20"/>
      <c r="F71" s="20" t="s">
        <v>3174</v>
      </c>
      <c r="G71" s="20" t="s">
        <v>3175</v>
      </c>
      <c r="H71" s="20" t="s">
        <v>2173</v>
      </c>
      <c r="I71" s="20"/>
      <c r="J71" s="20" t="s">
        <v>2172</v>
      </c>
      <c r="K71" s="20" t="s">
        <v>2173</v>
      </c>
      <c r="L71" s="20" t="s">
        <v>2173</v>
      </c>
      <c r="M71" s="20" t="s">
        <v>2155</v>
      </c>
      <c r="N71" s="20" t="s">
        <v>2166</v>
      </c>
      <c r="O71" s="20" t="s">
        <v>2167</v>
      </c>
      <c r="P71" s="20" t="s">
        <v>166</v>
      </c>
      <c r="Q71" s="20"/>
    </row>
    <row r="72" spans="1:17" x14ac:dyDescent="0.15">
      <c r="A72" s="20" t="s">
        <v>2002</v>
      </c>
      <c r="B72" s="20" t="s">
        <v>3035</v>
      </c>
      <c r="C72" s="20" t="s">
        <v>2155</v>
      </c>
      <c r="D72" s="20" t="s">
        <v>2176</v>
      </c>
      <c r="E72" s="20"/>
      <c r="F72" s="20" t="s">
        <v>3176</v>
      </c>
      <c r="G72" s="20" t="s">
        <v>3177</v>
      </c>
      <c r="H72" s="20" t="s">
        <v>2175</v>
      </c>
      <c r="I72" s="20"/>
      <c r="J72" s="20" t="s">
        <v>2174</v>
      </c>
      <c r="K72" s="20" t="s">
        <v>2175</v>
      </c>
      <c r="L72" s="20" t="s">
        <v>2175</v>
      </c>
      <c r="M72" s="20" t="s">
        <v>2155</v>
      </c>
      <c r="N72" s="20" t="s">
        <v>2176</v>
      </c>
      <c r="O72" s="20" t="s">
        <v>2177</v>
      </c>
      <c r="P72" s="20"/>
      <c r="Q72" s="20"/>
    </row>
    <row r="73" spans="1:17" x14ac:dyDescent="0.15">
      <c r="A73" s="20" t="s">
        <v>2002</v>
      </c>
      <c r="B73" s="20" t="s">
        <v>3035</v>
      </c>
      <c r="C73" s="20" t="s">
        <v>2155</v>
      </c>
      <c r="D73" s="20" t="s">
        <v>2176</v>
      </c>
      <c r="E73" s="20"/>
      <c r="F73" s="20" t="s">
        <v>3178</v>
      </c>
      <c r="G73" s="20" t="s">
        <v>3179</v>
      </c>
      <c r="H73" s="20" t="s">
        <v>2179</v>
      </c>
      <c r="I73" s="20"/>
      <c r="J73" s="20" t="s">
        <v>2178</v>
      </c>
      <c r="K73" s="20" t="s">
        <v>2179</v>
      </c>
      <c r="L73" s="20" t="s">
        <v>2179</v>
      </c>
      <c r="M73" s="20" t="s">
        <v>2155</v>
      </c>
      <c r="N73" s="20" t="s">
        <v>2176</v>
      </c>
      <c r="O73" s="20" t="s">
        <v>2177</v>
      </c>
      <c r="P73" s="20"/>
      <c r="Q73" s="20"/>
    </row>
    <row r="74" spans="1:17" x14ac:dyDescent="0.15">
      <c r="A74" s="20" t="s">
        <v>2002</v>
      </c>
      <c r="B74" s="20" t="s">
        <v>3035</v>
      </c>
      <c r="C74" s="20" t="s">
        <v>2155</v>
      </c>
      <c r="D74" s="20" t="s">
        <v>2176</v>
      </c>
      <c r="E74" s="20"/>
      <c r="F74" s="20" t="s">
        <v>3180</v>
      </c>
      <c r="G74" s="20" t="s">
        <v>3181</v>
      </c>
      <c r="H74" s="20" t="s">
        <v>2181</v>
      </c>
      <c r="I74" s="20"/>
      <c r="J74" s="20" t="s">
        <v>2180</v>
      </c>
      <c r="K74" s="20" t="s">
        <v>2181</v>
      </c>
      <c r="L74" s="20" t="s">
        <v>2181</v>
      </c>
      <c r="M74" s="20" t="s">
        <v>2155</v>
      </c>
      <c r="N74" s="20" t="s">
        <v>2176</v>
      </c>
      <c r="O74" s="20" t="s">
        <v>2177</v>
      </c>
      <c r="P74" s="20"/>
      <c r="Q74" s="20"/>
    </row>
    <row r="75" spans="1:17" x14ac:dyDescent="0.15">
      <c r="A75" s="20" t="s">
        <v>2002</v>
      </c>
      <c r="B75" s="20" t="s">
        <v>3035</v>
      </c>
      <c r="C75" s="20" t="s">
        <v>2155</v>
      </c>
      <c r="D75" s="20" t="s">
        <v>2176</v>
      </c>
      <c r="E75" s="20"/>
      <c r="F75" s="20" t="s">
        <v>3182</v>
      </c>
      <c r="G75" s="20" t="s">
        <v>3183</v>
      </c>
      <c r="H75" s="20" t="s">
        <v>2183</v>
      </c>
      <c r="I75" s="20"/>
      <c r="J75" s="20" t="s">
        <v>2182</v>
      </c>
      <c r="K75" s="20" t="s">
        <v>2183</v>
      </c>
      <c r="L75" s="20" t="s">
        <v>2183</v>
      </c>
      <c r="M75" s="20" t="s">
        <v>2155</v>
      </c>
      <c r="N75" s="20" t="s">
        <v>2176</v>
      </c>
      <c r="O75" s="20" t="s">
        <v>2177</v>
      </c>
      <c r="P75" s="20"/>
      <c r="Q75" s="20"/>
    </row>
    <row r="76" spans="1:17" x14ac:dyDescent="0.15">
      <c r="A76" s="20" t="s">
        <v>2002</v>
      </c>
      <c r="B76" s="20" t="s">
        <v>3035</v>
      </c>
      <c r="C76" s="20" t="s">
        <v>2155</v>
      </c>
      <c r="D76" s="20" t="s">
        <v>2176</v>
      </c>
      <c r="E76" s="20"/>
      <c r="F76" s="20" t="s">
        <v>3184</v>
      </c>
      <c r="G76" s="20" t="s">
        <v>3185</v>
      </c>
      <c r="H76" s="20" t="s">
        <v>2185</v>
      </c>
      <c r="I76" s="20"/>
      <c r="J76" s="20" t="s">
        <v>2184</v>
      </c>
      <c r="K76" s="20" t="s">
        <v>2185</v>
      </c>
      <c r="L76" s="20" t="s">
        <v>2185</v>
      </c>
      <c r="M76" s="20" t="s">
        <v>2155</v>
      </c>
      <c r="N76" s="20" t="s">
        <v>2176</v>
      </c>
      <c r="O76" s="20" t="s">
        <v>2177</v>
      </c>
      <c r="P76" s="20"/>
      <c r="Q76" s="20"/>
    </row>
    <row r="77" spans="1:17" x14ac:dyDescent="0.15">
      <c r="A77" s="20" t="s">
        <v>2002</v>
      </c>
      <c r="B77" s="20" t="s">
        <v>3035</v>
      </c>
      <c r="C77" s="20" t="s">
        <v>2155</v>
      </c>
      <c r="D77" s="20" t="s">
        <v>2188</v>
      </c>
      <c r="E77" s="20"/>
      <c r="F77" s="20" t="s">
        <v>3186</v>
      </c>
      <c r="G77" s="20" t="s">
        <v>3187</v>
      </c>
      <c r="H77" s="20" t="s">
        <v>2187</v>
      </c>
      <c r="I77" s="20"/>
      <c r="J77" s="20" t="s">
        <v>2186</v>
      </c>
      <c r="K77" s="20" t="s">
        <v>2187</v>
      </c>
      <c r="L77" s="20" t="s">
        <v>2187</v>
      </c>
      <c r="M77" s="20" t="s">
        <v>2155</v>
      </c>
      <c r="N77" s="20" t="s">
        <v>2188</v>
      </c>
      <c r="O77" s="20" t="s">
        <v>2189</v>
      </c>
      <c r="P77" s="20"/>
      <c r="Q77" s="20"/>
    </row>
    <row r="78" spans="1:17" x14ac:dyDescent="0.15">
      <c r="A78" s="20" t="s">
        <v>2002</v>
      </c>
      <c r="B78" s="20" t="s">
        <v>3035</v>
      </c>
      <c r="C78" s="20" t="s">
        <v>2155</v>
      </c>
      <c r="D78" s="20" t="s">
        <v>2188</v>
      </c>
      <c r="E78" s="20"/>
      <c r="F78" s="20" t="s">
        <v>3188</v>
      </c>
      <c r="G78" s="20" t="s">
        <v>3189</v>
      </c>
      <c r="H78" s="20" t="s">
        <v>2191</v>
      </c>
      <c r="I78" s="20"/>
      <c r="J78" s="20" t="s">
        <v>2190</v>
      </c>
      <c r="K78" s="20" t="s">
        <v>2191</v>
      </c>
      <c r="L78" s="20" t="s">
        <v>2191</v>
      </c>
      <c r="M78" s="20" t="s">
        <v>2155</v>
      </c>
      <c r="N78" s="20" t="s">
        <v>2188</v>
      </c>
      <c r="O78" s="20" t="s">
        <v>2189</v>
      </c>
      <c r="P78" s="20"/>
      <c r="Q78" s="20"/>
    </row>
    <row r="79" spans="1:17" x14ac:dyDescent="0.15">
      <c r="A79" s="20" t="s">
        <v>2002</v>
      </c>
      <c r="B79" s="20" t="s">
        <v>3035</v>
      </c>
      <c r="C79" s="20" t="s">
        <v>2155</v>
      </c>
      <c r="D79" s="20" t="s">
        <v>2188</v>
      </c>
      <c r="E79" s="20"/>
      <c r="F79" s="20" t="s">
        <v>3190</v>
      </c>
      <c r="G79" s="20" t="s">
        <v>3191</v>
      </c>
      <c r="H79" s="20" t="s">
        <v>2193</v>
      </c>
      <c r="I79" s="20"/>
      <c r="J79" s="20" t="s">
        <v>2192</v>
      </c>
      <c r="K79" s="20" t="s">
        <v>2193</v>
      </c>
      <c r="L79" s="20" t="s">
        <v>2193</v>
      </c>
      <c r="M79" s="20" t="s">
        <v>2155</v>
      </c>
      <c r="N79" s="20" t="s">
        <v>2188</v>
      </c>
      <c r="O79" s="20" t="s">
        <v>2189</v>
      </c>
      <c r="P79" s="20"/>
      <c r="Q79" s="20"/>
    </row>
    <row r="80" spans="1:17" x14ac:dyDescent="0.15">
      <c r="A80" s="20" t="s">
        <v>2002</v>
      </c>
      <c r="B80" s="20" t="s">
        <v>3035</v>
      </c>
      <c r="C80" s="20" t="s">
        <v>2155</v>
      </c>
      <c r="D80" s="20" t="s">
        <v>2188</v>
      </c>
      <c r="E80" s="20"/>
      <c r="F80" s="20" t="s">
        <v>3192</v>
      </c>
      <c r="G80" s="20" t="s">
        <v>3193</v>
      </c>
      <c r="H80" s="20" t="s">
        <v>2195</v>
      </c>
      <c r="I80" s="20"/>
      <c r="J80" s="20" t="s">
        <v>2194</v>
      </c>
      <c r="K80" s="20" t="s">
        <v>2195</v>
      </c>
      <c r="L80" s="20" t="s">
        <v>2195</v>
      </c>
      <c r="M80" s="20" t="s">
        <v>2155</v>
      </c>
      <c r="N80" s="20" t="s">
        <v>2188</v>
      </c>
      <c r="O80" s="20" t="s">
        <v>2189</v>
      </c>
      <c r="P80" s="20"/>
      <c r="Q80" s="20"/>
    </row>
    <row r="81" spans="1:17" x14ac:dyDescent="0.15">
      <c r="A81" s="20" t="s">
        <v>2002</v>
      </c>
      <c r="B81" s="20" t="s">
        <v>3035</v>
      </c>
      <c r="C81" s="20" t="s">
        <v>2155</v>
      </c>
      <c r="D81" s="20" t="s">
        <v>2188</v>
      </c>
      <c r="E81" s="20"/>
      <c r="F81" s="20" t="s">
        <v>3194</v>
      </c>
      <c r="G81" s="20" t="s">
        <v>3195</v>
      </c>
      <c r="H81" s="20" t="s">
        <v>2197</v>
      </c>
      <c r="I81" s="20"/>
      <c r="J81" s="20" t="s">
        <v>2196</v>
      </c>
      <c r="K81" s="20" t="s">
        <v>2197</v>
      </c>
      <c r="L81" s="20" t="s">
        <v>2197</v>
      </c>
      <c r="M81" s="20" t="s">
        <v>2155</v>
      </c>
      <c r="N81" s="20" t="s">
        <v>2188</v>
      </c>
      <c r="O81" s="20" t="s">
        <v>2189</v>
      </c>
      <c r="P81" s="20"/>
      <c r="Q81" s="20"/>
    </row>
    <row r="82" spans="1:17" x14ac:dyDescent="0.15">
      <c r="A82" s="20" t="s">
        <v>2002</v>
      </c>
      <c r="B82" s="20" t="s">
        <v>3035</v>
      </c>
      <c r="C82" s="20" t="s">
        <v>2155</v>
      </c>
      <c r="D82" s="20" t="s">
        <v>2200</v>
      </c>
      <c r="E82" s="20"/>
      <c r="F82" s="20" t="s">
        <v>3196</v>
      </c>
      <c r="G82" s="20" t="s">
        <v>3197</v>
      </c>
      <c r="H82" s="20" t="s">
        <v>2199</v>
      </c>
      <c r="I82" s="20"/>
      <c r="J82" s="20" t="s">
        <v>2198</v>
      </c>
      <c r="K82" s="20" t="s">
        <v>2199</v>
      </c>
      <c r="L82" s="20" t="s">
        <v>2199</v>
      </c>
      <c r="M82" s="20" t="s">
        <v>2155</v>
      </c>
      <c r="N82" s="20" t="s">
        <v>2200</v>
      </c>
      <c r="O82" s="20" t="s">
        <v>2201</v>
      </c>
      <c r="P82" s="20" t="s">
        <v>166</v>
      </c>
      <c r="Q82" s="20"/>
    </row>
    <row r="83" spans="1:17" x14ac:dyDescent="0.15">
      <c r="A83" s="20" t="s">
        <v>2002</v>
      </c>
      <c r="B83" s="20" t="s">
        <v>3035</v>
      </c>
      <c r="C83" s="20" t="s">
        <v>2155</v>
      </c>
      <c r="D83" s="20" t="s">
        <v>2200</v>
      </c>
      <c r="E83" s="20"/>
      <c r="F83" s="20" t="s">
        <v>3198</v>
      </c>
      <c r="G83" s="20" t="s">
        <v>3199</v>
      </c>
      <c r="H83" s="20" t="s">
        <v>2202</v>
      </c>
      <c r="I83" s="20"/>
      <c r="J83" s="20" t="s">
        <v>1698</v>
      </c>
      <c r="K83" s="20" t="s">
        <v>2202</v>
      </c>
      <c r="L83" s="20" t="s">
        <v>2202</v>
      </c>
      <c r="M83" s="20" t="s">
        <v>2155</v>
      </c>
      <c r="N83" s="20" t="s">
        <v>2200</v>
      </c>
      <c r="O83" s="20" t="s">
        <v>2201</v>
      </c>
      <c r="P83" s="20" t="s">
        <v>166</v>
      </c>
      <c r="Q83" s="20"/>
    </row>
    <row r="84" spans="1:17" x14ac:dyDescent="0.15">
      <c r="A84" s="20" t="s">
        <v>2002</v>
      </c>
      <c r="B84" s="20" t="s">
        <v>3035</v>
      </c>
      <c r="C84" s="20" t="s">
        <v>2155</v>
      </c>
      <c r="D84" s="20" t="s">
        <v>2200</v>
      </c>
      <c r="E84" s="20"/>
      <c r="F84" s="20" t="s">
        <v>3200</v>
      </c>
      <c r="G84" s="20" t="s">
        <v>3201</v>
      </c>
      <c r="H84" s="20" t="s">
        <v>2204</v>
      </c>
      <c r="I84" s="20"/>
      <c r="J84" s="20" t="s">
        <v>2203</v>
      </c>
      <c r="K84" s="20" t="s">
        <v>2204</v>
      </c>
      <c r="L84" s="20" t="s">
        <v>2204</v>
      </c>
      <c r="M84" s="20" t="s">
        <v>2155</v>
      </c>
      <c r="N84" s="20" t="s">
        <v>2200</v>
      </c>
      <c r="O84" s="20" t="s">
        <v>2201</v>
      </c>
      <c r="P84" s="20" t="s">
        <v>166</v>
      </c>
      <c r="Q84" s="20"/>
    </row>
    <row r="85" spans="1:17" x14ac:dyDescent="0.15">
      <c r="A85" s="20" t="s">
        <v>2002</v>
      </c>
      <c r="B85" s="20" t="s">
        <v>3035</v>
      </c>
      <c r="C85" s="20" t="s">
        <v>2155</v>
      </c>
      <c r="D85" s="20" t="s">
        <v>2200</v>
      </c>
      <c r="E85" s="20"/>
      <c r="F85" s="20" t="s">
        <v>3202</v>
      </c>
      <c r="G85" s="20" t="s">
        <v>3203</v>
      </c>
      <c r="H85" s="20" t="s">
        <v>2206</v>
      </c>
      <c r="I85" s="20"/>
      <c r="J85" s="20" t="s">
        <v>2205</v>
      </c>
      <c r="K85" s="20" t="s">
        <v>2206</v>
      </c>
      <c r="L85" s="20" t="s">
        <v>2206</v>
      </c>
      <c r="M85" s="20" t="s">
        <v>2155</v>
      </c>
      <c r="N85" s="20" t="s">
        <v>2200</v>
      </c>
      <c r="O85" s="20" t="s">
        <v>2201</v>
      </c>
      <c r="P85" s="20" t="s">
        <v>166</v>
      </c>
      <c r="Q85" s="20"/>
    </row>
    <row r="86" spans="1:17" x14ac:dyDescent="0.15">
      <c r="A86" s="20" t="s">
        <v>2002</v>
      </c>
      <c r="B86" s="20" t="s">
        <v>3035</v>
      </c>
      <c r="C86" s="20" t="s">
        <v>2155</v>
      </c>
      <c r="D86" s="20" t="s">
        <v>2200</v>
      </c>
      <c r="E86" s="20"/>
      <c r="F86" s="20" t="s">
        <v>3204</v>
      </c>
      <c r="G86" s="20" t="s">
        <v>3205</v>
      </c>
      <c r="H86" s="20" t="s">
        <v>2208</v>
      </c>
      <c r="I86" s="20"/>
      <c r="J86" s="20" t="s">
        <v>2207</v>
      </c>
      <c r="K86" s="20" t="s">
        <v>2208</v>
      </c>
      <c r="L86" s="20" t="s">
        <v>2208</v>
      </c>
      <c r="M86" s="20" t="s">
        <v>2155</v>
      </c>
      <c r="N86" s="20" t="s">
        <v>2200</v>
      </c>
      <c r="O86" s="20" t="s">
        <v>2201</v>
      </c>
      <c r="P86" s="20" t="s">
        <v>166</v>
      </c>
      <c r="Q86" s="20"/>
    </row>
    <row r="87" spans="1:17" x14ac:dyDescent="0.15">
      <c r="A87" s="20" t="s">
        <v>2002</v>
      </c>
      <c r="B87" s="20" t="s">
        <v>3035</v>
      </c>
      <c r="C87" s="20" t="s">
        <v>2155</v>
      </c>
      <c r="D87" s="20" t="s">
        <v>2200</v>
      </c>
      <c r="E87" s="20"/>
      <c r="F87" s="20" t="s">
        <v>3206</v>
      </c>
      <c r="G87" s="20" t="s">
        <v>3207</v>
      </c>
      <c r="H87" s="20" t="s">
        <v>161</v>
      </c>
      <c r="I87" s="20"/>
      <c r="J87" s="20" t="s">
        <v>2209</v>
      </c>
      <c r="K87" s="20" t="s">
        <v>161</v>
      </c>
      <c r="L87" s="20" t="s">
        <v>161</v>
      </c>
      <c r="M87" s="20" t="s">
        <v>2155</v>
      </c>
      <c r="N87" s="20" t="s">
        <v>2200</v>
      </c>
      <c r="O87" s="20" t="s">
        <v>2201</v>
      </c>
      <c r="P87" s="20" t="s">
        <v>166</v>
      </c>
      <c r="Q87" s="20"/>
    </row>
    <row r="88" spans="1:17" x14ac:dyDescent="0.15">
      <c r="A88" s="20" t="s">
        <v>2002</v>
      </c>
      <c r="B88" s="20" t="s">
        <v>3035</v>
      </c>
      <c r="C88" s="20" t="s">
        <v>2155</v>
      </c>
      <c r="D88" s="20" t="s">
        <v>2212</v>
      </c>
      <c r="E88" s="20"/>
      <c r="F88" s="20" t="s">
        <v>3208</v>
      </c>
      <c r="G88" s="20" t="s">
        <v>3209</v>
      </c>
      <c r="H88" s="20" t="s">
        <v>2211</v>
      </c>
      <c r="I88" s="20"/>
      <c r="J88" s="20" t="s">
        <v>2210</v>
      </c>
      <c r="K88" s="20" t="s">
        <v>2211</v>
      </c>
      <c r="L88" s="20" t="s">
        <v>2211</v>
      </c>
      <c r="M88" s="20" t="s">
        <v>2155</v>
      </c>
      <c r="N88" s="20" t="s">
        <v>2212</v>
      </c>
      <c r="O88" s="20" t="s">
        <v>2213</v>
      </c>
      <c r="P88" s="20" t="s">
        <v>166</v>
      </c>
      <c r="Q88" s="20"/>
    </row>
    <row r="89" spans="1:17" x14ac:dyDescent="0.15">
      <c r="A89" s="20" t="s">
        <v>2002</v>
      </c>
      <c r="B89" s="20" t="s">
        <v>3035</v>
      </c>
      <c r="C89" s="20" t="s">
        <v>2155</v>
      </c>
      <c r="D89" s="20" t="s">
        <v>2212</v>
      </c>
      <c r="E89" s="20"/>
      <c r="F89" s="20" t="s">
        <v>3210</v>
      </c>
      <c r="G89" s="20" t="s">
        <v>3211</v>
      </c>
      <c r="H89" s="20" t="s">
        <v>2215</v>
      </c>
      <c r="I89" s="20"/>
      <c r="J89" s="20" t="s">
        <v>2214</v>
      </c>
      <c r="K89" s="20" t="s">
        <v>2215</v>
      </c>
      <c r="L89" s="20" t="s">
        <v>2215</v>
      </c>
      <c r="M89" s="20" t="s">
        <v>2155</v>
      </c>
      <c r="N89" s="20" t="s">
        <v>2212</v>
      </c>
      <c r="O89" s="20" t="s">
        <v>2213</v>
      </c>
      <c r="P89" s="20" t="s">
        <v>166</v>
      </c>
      <c r="Q89" s="20"/>
    </row>
    <row r="90" spans="1:17" x14ac:dyDescent="0.15">
      <c r="A90" s="20" t="s">
        <v>2002</v>
      </c>
      <c r="B90" s="20" t="s">
        <v>3035</v>
      </c>
      <c r="C90" s="20" t="s">
        <v>2155</v>
      </c>
      <c r="D90" s="20" t="s">
        <v>2212</v>
      </c>
      <c r="E90" s="20"/>
      <c r="F90" s="20" t="s">
        <v>3212</v>
      </c>
      <c r="G90" s="20" t="s">
        <v>3213</v>
      </c>
      <c r="H90" s="20" t="s">
        <v>2217</v>
      </c>
      <c r="I90" s="20"/>
      <c r="J90" s="20" t="s">
        <v>2216</v>
      </c>
      <c r="K90" s="20" t="s">
        <v>2217</v>
      </c>
      <c r="L90" s="20" t="s">
        <v>2217</v>
      </c>
      <c r="M90" s="20" t="s">
        <v>2155</v>
      </c>
      <c r="N90" s="20" t="s">
        <v>2212</v>
      </c>
      <c r="O90" s="20" t="s">
        <v>2213</v>
      </c>
      <c r="P90" s="20" t="s">
        <v>166</v>
      </c>
      <c r="Q90" s="20"/>
    </row>
    <row r="91" spans="1:17" x14ac:dyDescent="0.15">
      <c r="A91" s="20" t="s">
        <v>2002</v>
      </c>
      <c r="B91" s="20" t="s">
        <v>3035</v>
      </c>
      <c r="C91" s="20" t="s">
        <v>2155</v>
      </c>
      <c r="D91" s="20" t="s">
        <v>2212</v>
      </c>
      <c r="E91" s="20"/>
      <c r="F91" s="20" t="s">
        <v>3214</v>
      </c>
      <c r="G91" s="20" t="s">
        <v>3215</v>
      </c>
      <c r="H91" s="20" t="s">
        <v>2219</v>
      </c>
      <c r="I91" s="20"/>
      <c r="J91" s="20" t="s">
        <v>2218</v>
      </c>
      <c r="K91" s="20" t="s">
        <v>2219</v>
      </c>
      <c r="L91" s="20" t="s">
        <v>2219</v>
      </c>
      <c r="M91" s="20" t="s">
        <v>2155</v>
      </c>
      <c r="N91" s="20" t="s">
        <v>2212</v>
      </c>
      <c r="O91" s="20" t="s">
        <v>2213</v>
      </c>
      <c r="P91" s="20" t="s">
        <v>166</v>
      </c>
      <c r="Q91" s="20"/>
    </row>
    <row r="92" spans="1:17" x14ac:dyDescent="0.15">
      <c r="A92" s="20" t="s">
        <v>2002</v>
      </c>
      <c r="B92" s="20" t="s">
        <v>3035</v>
      </c>
      <c r="C92" s="20" t="s">
        <v>2155</v>
      </c>
      <c r="D92" s="20" t="s">
        <v>2212</v>
      </c>
      <c r="E92" s="20"/>
      <c r="F92" s="20" t="s">
        <v>3216</v>
      </c>
      <c r="G92" s="20" t="s">
        <v>3217</v>
      </c>
      <c r="H92" s="20" t="s">
        <v>2221</v>
      </c>
      <c r="I92" s="20"/>
      <c r="J92" s="20" t="s">
        <v>2220</v>
      </c>
      <c r="K92" s="20" t="s">
        <v>2221</v>
      </c>
      <c r="L92" s="20" t="s">
        <v>2221</v>
      </c>
      <c r="M92" s="20" t="s">
        <v>2155</v>
      </c>
      <c r="N92" s="20" t="s">
        <v>2212</v>
      </c>
      <c r="O92" s="20" t="s">
        <v>2213</v>
      </c>
      <c r="P92" s="20" t="s">
        <v>166</v>
      </c>
      <c r="Q92" s="20"/>
    </row>
    <row r="93" spans="1:17" x14ac:dyDescent="0.15">
      <c r="A93" s="20" t="s">
        <v>2002</v>
      </c>
      <c r="B93" s="20" t="s">
        <v>3035</v>
      </c>
      <c r="C93" s="20" t="s">
        <v>2155</v>
      </c>
      <c r="D93" s="20" t="s">
        <v>2224</v>
      </c>
      <c r="E93" s="20"/>
      <c r="F93" s="20" t="s">
        <v>3218</v>
      </c>
      <c r="G93" s="20" t="s">
        <v>3219</v>
      </c>
      <c r="H93" s="20" t="s">
        <v>2223</v>
      </c>
      <c r="I93" s="20"/>
      <c r="J93" s="20" t="s">
        <v>2222</v>
      </c>
      <c r="K93" s="20" t="s">
        <v>2223</v>
      </c>
      <c r="L93" s="20" t="s">
        <v>2223</v>
      </c>
      <c r="M93" s="20" t="s">
        <v>2155</v>
      </c>
      <c r="N93" s="20" t="s">
        <v>2224</v>
      </c>
      <c r="O93" s="20" t="s">
        <v>2225</v>
      </c>
      <c r="P93" s="20"/>
      <c r="Q93" s="20"/>
    </row>
    <row r="94" spans="1:17" x14ac:dyDescent="0.15">
      <c r="A94" s="20" t="s">
        <v>2002</v>
      </c>
      <c r="B94" s="20" t="s">
        <v>3035</v>
      </c>
      <c r="C94" s="20" t="s">
        <v>2155</v>
      </c>
      <c r="D94" s="20" t="s">
        <v>2224</v>
      </c>
      <c r="E94" s="20"/>
      <c r="F94" s="20" t="s">
        <v>3220</v>
      </c>
      <c r="G94" s="20" t="s">
        <v>3221</v>
      </c>
      <c r="H94" s="20" t="s">
        <v>2226</v>
      </c>
      <c r="I94" s="20"/>
      <c r="J94" s="20" t="s">
        <v>789</v>
      </c>
      <c r="K94" s="20" t="s">
        <v>2226</v>
      </c>
      <c r="L94" s="20" t="s">
        <v>2226</v>
      </c>
      <c r="M94" s="20" t="s">
        <v>2155</v>
      </c>
      <c r="N94" s="20" t="s">
        <v>2224</v>
      </c>
      <c r="O94" s="20" t="s">
        <v>2225</v>
      </c>
      <c r="P94" s="20"/>
      <c r="Q94" s="20"/>
    </row>
    <row r="95" spans="1:17" x14ac:dyDescent="0.15">
      <c r="A95" s="20" t="s">
        <v>2002</v>
      </c>
      <c r="B95" s="20" t="s">
        <v>3035</v>
      </c>
      <c r="C95" s="20" t="s">
        <v>2155</v>
      </c>
      <c r="D95" s="20" t="s">
        <v>2224</v>
      </c>
      <c r="E95" s="20"/>
      <c r="F95" s="20" t="s">
        <v>3222</v>
      </c>
      <c r="G95" s="20" t="s">
        <v>3223</v>
      </c>
      <c r="H95" s="20" t="s">
        <v>2228</v>
      </c>
      <c r="I95" s="20"/>
      <c r="J95" s="20" t="s">
        <v>2227</v>
      </c>
      <c r="K95" s="20" t="s">
        <v>2228</v>
      </c>
      <c r="L95" s="20" t="s">
        <v>2228</v>
      </c>
      <c r="M95" s="20" t="s">
        <v>2155</v>
      </c>
      <c r="N95" s="20" t="s">
        <v>2224</v>
      </c>
      <c r="O95" s="20" t="s">
        <v>2225</v>
      </c>
      <c r="P95" s="20"/>
      <c r="Q95" s="20"/>
    </row>
    <row r="96" spans="1:17" x14ac:dyDescent="0.15">
      <c r="A96" s="20" t="s">
        <v>2002</v>
      </c>
      <c r="B96" s="20" t="s">
        <v>3035</v>
      </c>
      <c r="C96" s="20" t="s">
        <v>2155</v>
      </c>
      <c r="D96" s="20" t="s">
        <v>2224</v>
      </c>
      <c r="E96" s="20"/>
      <c r="F96" s="20" t="s">
        <v>3224</v>
      </c>
      <c r="G96" s="20" t="s">
        <v>3225</v>
      </c>
      <c r="H96" s="20" t="s">
        <v>2230</v>
      </c>
      <c r="I96" s="20"/>
      <c r="J96" s="20" t="s">
        <v>2229</v>
      </c>
      <c r="K96" s="20" t="s">
        <v>2230</v>
      </c>
      <c r="L96" s="20" t="s">
        <v>2230</v>
      </c>
      <c r="M96" s="20" t="s">
        <v>2155</v>
      </c>
      <c r="N96" s="20" t="s">
        <v>2224</v>
      </c>
      <c r="O96" s="20" t="s">
        <v>2225</v>
      </c>
      <c r="P96" s="20"/>
      <c r="Q96" s="20"/>
    </row>
    <row r="97" spans="1:17" x14ac:dyDescent="0.15">
      <c r="A97" s="20" t="s">
        <v>2002</v>
      </c>
      <c r="B97" s="20" t="s">
        <v>3035</v>
      </c>
      <c r="C97" s="20" t="s">
        <v>2155</v>
      </c>
      <c r="D97" s="20" t="s">
        <v>2224</v>
      </c>
      <c r="E97" s="20"/>
      <c r="F97" s="20" t="s">
        <v>3226</v>
      </c>
      <c r="G97" s="20" t="s">
        <v>3227</v>
      </c>
      <c r="H97" s="20" t="s">
        <v>2232</v>
      </c>
      <c r="I97" s="20"/>
      <c r="J97" s="20" t="s">
        <v>2231</v>
      </c>
      <c r="K97" s="20" t="s">
        <v>2232</v>
      </c>
      <c r="L97" s="20" t="s">
        <v>2232</v>
      </c>
      <c r="M97" s="20" t="s">
        <v>2155</v>
      </c>
      <c r="N97" s="20" t="s">
        <v>2224</v>
      </c>
      <c r="O97" s="20" t="s">
        <v>2225</v>
      </c>
      <c r="P97" s="20"/>
      <c r="Q97" s="20"/>
    </row>
    <row r="98" spans="1:17" x14ac:dyDescent="0.15">
      <c r="A98" s="20" t="s">
        <v>2002</v>
      </c>
      <c r="B98" s="20" t="s">
        <v>3035</v>
      </c>
      <c r="C98" s="20" t="s">
        <v>2155</v>
      </c>
      <c r="D98" s="20" t="s">
        <v>2224</v>
      </c>
      <c r="E98" s="20"/>
      <c r="F98" s="20" t="s">
        <v>3228</v>
      </c>
      <c r="G98" s="20" t="s">
        <v>3229</v>
      </c>
      <c r="H98" s="20" t="s">
        <v>213</v>
      </c>
      <c r="I98" s="20"/>
      <c r="J98" s="20" t="s">
        <v>2233</v>
      </c>
      <c r="K98" s="20" t="s">
        <v>213</v>
      </c>
      <c r="L98" s="20" t="s">
        <v>213</v>
      </c>
      <c r="M98" s="20" t="s">
        <v>2155</v>
      </c>
      <c r="N98" s="20" t="s">
        <v>2224</v>
      </c>
      <c r="O98" s="20" t="s">
        <v>2225</v>
      </c>
      <c r="P98" s="20"/>
      <c r="Q98" s="20"/>
    </row>
    <row r="99" spans="1:17" x14ac:dyDescent="0.15">
      <c r="A99" s="20" t="s">
        <v>2002</v>
      </c>
      <c r="B99" s="20" t="s">
        <v>3035</v>
      </c>
      <c r="C99" s="20" t="s">
        <v>2155</v>
      </c>
      <c r="D99" s="20" t="s">
        <v>2224</v>
      </c>
      <c r="E99" s="20"/>
      <c r="F99" s="20" t="s">
        <v>3230</v>
      </c>
      <c r="G99" s="20" t="s">
        <v>3231</v>
      </c>
      <c r="H99" s="20" t="s">
        <v>2235</v>
      </c>
      <c r="I99" s="20"/>
      <c r="J99" s="20" t="s">
        <v>2234</v>
      </c>
      <c r="K99" s="20" t="s">
        <v>2235</v>
      </c>
      <c r="L99" s="20" t="s">
        <v>2235</v>
      </c>
      <c r="M99" s="20" t="s">
        <v>2155</v>
      </c>
      <c r="N99" s="20" t="s">
        <v>2224</v>
      </c>
      <c r="O99" s="20" t="s">
        <v>2225</v>
      </c>
      <c r="P99" s="20"/>
      <c r="Q99" s="20"/>
    </row>
    <row r="100" spans="1:17" x14ac:dyDescent="0.15">
      <c r="A100" s="20" t="s">
        <v>2002</v>
      </c>
      <c r="B100" s="20" t="s">
        <v>3035</v>
      </c>
      <c r="C100" s="20" t="s">
        <v>2236</v>
      </c>
      <c r="D100" s="20" t="s">
        <v>2237</v>
      </c>
      <c r="E100" s="20"/>
      <c r="F100" s="20" t="s">
        <v>3232</v>
      </c>
      <c r="G100" s="20" t="s">
        <v>3233</v>
      </c>
      <c r="H100" s="20" t="s">
        <v>2236</v>
      </c>
      <c r="I100" s="20"/>
      <c r="J100" s="20" t="s">
        <v>1747</v>
      </c>
      <c r="K100" s="20" t="s">
        <v>1747</v>
      </c>
      <c r="L100" s="20" t="s">
        <v>2236</v>
      </c>
      <c r="M100" s="20" t="s">
        <v>2236</v>
      </c>
      <c r="N100" s="20" t="s">
        <v>2237</v>
      </c>
      <c r="O100" s="20"/>
      <c r="P100" s="20"/>
      <c r="Q100" s="20"/>
    </row>
    <row r="101" spans="1:17" x14ac:dyDescent="0.15">
      <c r="A101" s="20" t="s">
        <v>2002</v>
      </c>
      <c r="B101" s="20" t="s">
        <v>3035</v>
      </c>
      <c r="C101" s="20" t="s">
        <v>2236</v>
      </c>
      <c r="D101" s="20" t="s">
        <v>2237</v>
      </c>
      <c r="E101" s="20"/>
      <c r="F101" s="20" t="s">
        <v>3234</v>
      </c>
      <c r="G101" s="20" t="s">
        <v>3235</v>
      </c>
      <c r="H101" s="20" t="s">
        <v>2236</v>
      </c>
      <c r="I101" s="20"/>
      <c r="J101" s="20" t="s">
        <v>2238</v>
      </c>
      <c r="K101" s="20" t="s">
        <v>2238</v>
      </c>
      <c r="L101" s="20" t="s">
        <v>2236</v>
      </c>
      <c r="M101" s="20" t="s">
        <v>2236</v>
      </c>
      <c r="N101" s="20" t="s">
        <v>2237</v>
      </c>
      <c r="O101" s="20"/>
      <c r="P101" s="20"/>
      <c r="Q101" s="20"/>
    </row>
    <row r="102" spans="1:17" x14ac:dyDescent="0.15">
      <c r="A102" s="20" t="s">
        <v>2002</v>
      </c>
      <c r="B102" s="20" t="s">
        <v>3035</v>
      </c>
      <c r="C102" s="20" t="s">
        <v>2236</v>
      </c>
      <c r="D102" s="20" t="s">
        <v>2237</v>
      </c>
      <c r="E102" s="20"/>
      <c r="F102" s="20" t="s">
        <v>3236</v>
      </c>
      <c r="G102" s="20" t="s">
        <v>3237</v>
      </c>
      <c r="H102" s="20" t="s">
        <v>2236</v>
      </c>
      <c r="I102" s="20"/>
      <c r="J102" s="20" t="s">
        <v>2239</v>
      </c>
      <c r="K102" s="20" t="s">
        <v>2239</v>
      </c>
      <c r="L102" s="20" t="s">
        <v>2236</v>
      </c>
      <c r="M102" s="20" t="s">
        <v>2236</v>
      </c>
      <c r="N102" s="20" t="s">
        <v>2237</v>
      </c>
      <c r="O102" s="20"/>
      <c r="P102" s="20"/>
      <c r="Q102" s="20"/>
    </row>
    <row r="103" spans="1:17" x14ac:dyDescent="0.15">
      <c r="A103" s="20" t="s">
        <v>2002</v>
      </c>
      <c r="B103" s="20" t="s">
        <v>3035</v>
      </c>
      <c r="C103" s="20" t="s">
        <v>2236</v>
      </c>
      <c r="D103" s="20" t="s">
        <v>2237</v>
      </c>
      <c r="E103" s="20"/>
      <c r="F103" s="20" t="s">
        <v>3238</v>
      </c>
      <c r="G103" s="20" t="s">
        <v>3239</v>
      </c>
      <c r="H103" s="20" t="s">
        <v>2236</v>
      </c>
      <c r="I103" s="20"/>
      <c r="J103" s="20" t="s">
        <v>2240</v>
      </c>
      <c r="K103" s="20" t="s">
        <v>2240</v>
      </c>
      <c r="L103" s="20" t="s">
        <v>2236</v>
      </c>
      <c r="M103" s="20" t="s">
        <v>2236</v>
      </c>
      <c r="N103" s="20" t="s">
        <v>2237</v>
      </c>
      <c r="O103" s="20"/>
      <c r="P103" s="20"/>
      <c r="Q103" s="20"/>
    </row>
    <row r="104" spans="1:17" x14ac:dyDescent="0.15">
      <c r="A104" s="20" t="s">
        <v>2002</v>
      </c>
      <c r="B104" s="20" t="s">
        <v>3035</v>
      </c>
      <c r="C104" s="20" t="s">
        <v>2236</v>
      </c>
      <c r="D104" s="20" t="s">
        <v>2237</v>
      </c>
      <c r="E104" s="20"/>
      <c r="F104" s="20" t="s">
        <v>3240</v>
      </c>
      <c r="G104" s="20" t="s">
        <v>3241</v>
      </c>
      <c r="H104" s="20" t="s">
        <v>2236</v>
      </c>
      <c r="I104" s="20"/>
      <c r="J104" s="20" t="s">
        <v>2241</v>
      </c>
      <c r="K104" s="20" t="s">
        <v>2241</v>
      </c>
      <c r="L104" s="20" t="s">
        <v>2236</v>
      </c>
      <c r="M104" s="20" t="s">
        <v>2236</v>
      </c>
      <c r="N104" s="20" t="s">
        <v>2237</v>
      </c>
      <c r="O104" s="20"/>
      <c r="P104" s="20"/>
      <c r="Q104" s="20"/>
    </row>
    <row r="105" spans="1:17" x14ac:dyDescent="0.15">
      <c r="A105" s="20" t="s">
        <v>2002</v>
      </c>
      <c r="B105" s="20" t="s">
        <v>3035</v>
      </c>
      <c r="C105" s="20" t="s">
        <v>2236</v>
      </c>
      <c r="D105" s="20" t="s">
        <v>2237</v>
      </c>
      <c r="E105" s="20"/>
      <c r="F105" s="20" t="s">
        <v>3242</v>
      </c>
      <c r="G105" s="20" t="s">
        <v>3243</v>
      </c>
      <c r="H105" s="20" t="s">
        <v>2236</v>
      </c>
      <c r="I105" s="20"/>
      <c r="J105" s="20" t="s">
        <v>2242</v>
      </c>
      <c r="K105" s="20" t="s">
        <v>2243</v>
      </c>
      <c r="L105" s="20" t="s">
        <v>2236</v>
      </c>
      <c r="M105" s="20" t="s">
        <v>2236</v>
      </c>
      <c r="N105" s="20" t="s">
        <v>2237</v>
      </c>
      <c r="O105" s="20"/>
      <c r="P105" s="20"/>
      <c r="Q105" s="20"/>
    </row>
    <row r="106" spans="1:17" x14ac:dyDescent="0.15">
      <c r="A106" s="20" t="s">
        <v>2002</v>
      </c>
      <c r="B106" s="20" t="s">
        <v>3035</v>
      </c>
      <c r="C106" s="20" t="s">
        <v>2236</v>
      </c>
      <c r="D106" s="20" t="s">
        <v>2237</v>
      </c>
      <c r="E106" s="20"/>
      <c r="F106" s="20" t="s">
        <v>3244</v>
      </c>
      <c r="G106" s="20" t="s">
        <v>3245</v>
      </c>
      <c r="H106" s="20" t="s">
        <v>2236</v>
      </c>
      <c r="I106" s="20"/>
      <c r="J106" s="20" t="s">
        <v>2244</v>
      </c>
      <c r="K106" s="20" t="s">
        <v>2244</v>
      </c>
      <c r="L106" s="20" t="s">
        <v>2236</v>
      </c>
      <c r="M106" s="20" t="s">
        <v>2236</v>
      </c>
      <c r="N106" s="20" t="s">
        <v>2237</v>
      </c>
      <c r="O106" s="20"/>
      <c r="P106" s="20"/>
      <c r="Q106" s="20"/>
    </row>
    <row r="107" spans="1:17" x14ac:dyDescent="0.15">
      <c r="A107" s="20" t="s">
        <v>2002</v>
      </c>
      <c r="B107" s="20" t="s">
        <v>3035</v>
      </c>
      <c r="C107" s="20" t="s">
        <v>2236</v>
      </c>
      <c r="D107" s="20" t="s">
        <v>2237</v>
      </c>
      <c r="E107" s="20"/>
      <c r="F107" s="20" t="s">
        <v>3246</v>
      </c>
      <c r="G107" s="20" t="s">
        <v>3247</v>
      </c>
      <c r="H107" s="20" t="s">
        <v>2236</v>
      </c>
      <c r="I107" s="20"/>
      <c r="J107" s="20" t="s">
        <v>2245</v>
      </c>
      <c r="K107" s="20" t="s">
        <v>2245</v>
      </c>
      <c r="L107" s="20" t="s">
        <v>2236</v>
      </c>
      <c r="M107" s="20" t="s">
        <v>2236</v>
      </c>
      <c r="N107" s="20" t="s">
        <v>2237</v>
      </c>
      <c r="O107" s="20"/>
      <c r="P107" s="20"/>
      <c r="Q107" s="20"/>
    </row>
    <row r="108" spans="1:17" ht="15" x14ac:dyDescent="0.2">
      <c r="A108" s="20" t="s">
        <v>2002</v>
      </c>
      <c r="B108" s="20" t="s">
        <v>3035</v>
      </c>
      <c r="C108" s="20" t="s">
        <v>2236</v>
      </c>
      <c r="D108" s="20" t="s">
        <v>2237</v>
      </c>
      <c r="E108" s="20"/>
      <c r="F108" s="20" t="s">
        <v>3248</v>
      </c>
      <c r="G108" s="20" t="s">
        <v>3249</v>
      </c>
      <c r="H108" s="20" t="s">
        <v>2236</v>
      </c>
      <c r="I108" s="20"/>
      <c r="J108" s="11" t="s">
        <v>2246</v>
      </c>
      <c r="K108" s="11" t="s">
        <v>2246</v>
      </c>
      <c r="L108" s="20" t="s">
        <v>2236</v>
      </c>
      <c r="M108" s="20" t="s">
        <v>2236</v>
      </c>
      <c r="N108" s="20" t="s">
        <v>2237</v>
      </c>
      <c r="O108" s="20"/>
      <c r="P108" s="20"/>
      <c r="Q108" s="20"/>
    </row>
    <row r="109" spans="1:17" ht="15" x14ac:dyDescent="0.2">
      <c r="A109" s="20" t="s">
        <v>2002</v>
      </c>
      <c r="B109" s="20" t="s">
        <v>3035</v>
      </c>
      <c r="C109" s="20" t="s">
        <v>2236</v>
      </c>
      <c r="D109" s="20" t="s">
        <v>2237</v>
      </c>
      <c r="E109" s="20"/>
      <c r="F109" s="20" t="s">
        <v>3250</v>
      </c>
      <c r="G109" s="20" t="s">
        <v>3251</v>
      </c>
      <c r="H109" s="20" t="s">
        <v>2236</v>
      </c>
      <c r="I109" s="20"/>
      <c r="J109" s="11" t="s">
        <v>2247</v>
      </c>
      <c r="K109" s="11" t="s">
        <v>2247</v>
      </c>
      <c r="L109" s="20" t="s">
        <v>2236</v>
      </c>
      <c r="M109" s="20" t="s">
        <v>2236</v>
      </c>
      <c r="N109" s="20" t="s">
        <v>2237</v>
      </c>
      <c r="O109" s="20"/>
      <c r="P109" s="20"/>
      <c r="Q109" s="20"/>
    </row>
    <row r="110" spans="1:17" ht="15" x14ac:dyDescent="0.2">
      <c r="A110" s="20" t="s">
        <v>2002</v>
      </c>
      <c r="B110" s="20" t="s">
        <v>3035</v>
      </c>
      <c r="C110" s="20" t="s">
        <v>2236</v>
      </c>
      <c r="D110" s="20" t="s">
        <v>2237</v>
      </c>
      <c r="E110" s="20"/>
      <c r="F110" s="20" t="s">
        <v>3252</v>
      </c>
      <c r="G110" s="20" t="s">
        <v>3253</v>
      </c>
      <c r="H110" s="20" t="s">
        <v>2236</v>
      </c>
      <c r="I110" s="20"/>
      <c r="J110" s="11" t="s">
        <v>2248</v>
      </c>
      <c r="K110" s="11" t="s">
        <v>2248</v>
      </c>
      <c r="L110" s="20" t="s">
        <v>2236</v>
      </c>
      <c r="M110" s="20" t="s">
        <v>2236</v>
      </c>
      <c r="N110" s="20" t="s">
        <v>2237</v>
      </c>
      <c r="O110" s="20"/>
      <c r="P110" s="20"/>
      <c r="Q110" s="20"/>
    </row>
    <row r="111" spans="1:17" ht="15" x14ac:dyDescent="0.2">
      <c r="A111" s="20" t="s">
        <v>2002</v>
      </c>
      <c r="B111" s="20" t="s">
        <v>3035</v>
      </c>
      <c r="C111" s="20" t="s">
        <v>2236</v>
      </c>
      <c r="D111" s="20" t="s">
        <v>2237</v>
      </c>
      <c r="E111" s="20"/>
      <c r="F111" s="20" t="s">
        <v>3254</v>
      </c>
      <c r="G111" s="20" t="s">
        <v>3255</v>
      </c>
      <c r="H111" s="20" t="s">
        <v>2236</v>
      </c>
      <c r="I111" s="20"/>
      <c r="J111" s="11" t="s">
        <v>2249</v>
      </c>
      <c r="K111" s="11" t="s">
        <v>2249</v>
      </c>
      <c r="L111" s="20" t="s">
        <v>2236</v>
      </c>
      <c r="M111" s="20" t="s">
        <v>2236</v>
      </c>
      <c r="N111" s="20" t="s">
        <v>2237</v>
      </c>
      <c r="O111" s="20"/>
      <c r="P111" s="20"/>
      <c r="Q111" s="20"/>
    </row>
    <row r="112" spans="1:17" ht="15" x14ac:dyDescent="0.2">
      <c r="A112" s="20" t="s">
        <v>2002</v>
      </c>
      <c r="B112" s="20" t="s">
        <v>3035</v>
      </c>
      <c r="C112" s="20" t="s">
        <v>2236</v>
      </c>
      <c r="D112" s="20" t="s">
        <v>2237</v>
      </c>
      <c r="E112" s="20"/>
      <c r="F112" s="20" t="s">
        <v>3256</v>
      </c>
      <c r="G112" s="20" t="s">
        <v>3257</v>
      </c>
      <c r="H112" s="20" t="s">
        <v>2236</v>
      </c>
      <c r="I112" s="20"/>
      <c r="J112" s="11" t="s">
        <v>2250</v>
      </c>
      <c r="K112" s="11" t="s">
        <v>2250</v>
      </c>
      <c r="L112" s="20" t="s">
        <v>2236</v>
      </c>
      <c r="M112" s="20" t="s">
        <v>2236</v>
      </c>
      <c r="N112" s="20" t="s">
        <v>2237</v>
      </c>
      <c r="O112" s="20"/>
      <c r="P112" s="20"/>
      <c r="Q112" s="20"/>
    </row>
    <row r="113" spans="1:17" ht="15" x14ac:dyDescent="0.2">
      <c r="A113" s="20" t="s">
        <v>2002</v>
      </c>
      <c r="B113" s="20" t="s">
        <v>3035</v>
      </c>
      <c r="C113" s="20" t="s">
        <v>2236</v>
      </c>
      <c r="D113" s="20" t="s">
        <v>2237</v>
      </c>
      <c r="E113" s="20"/>
      <c r="F113" s="20" t="s">
        <v>3258</v>
      </c>
      <c r="G113" s="20" t="s">
        <v>3259</v>
      </c>
      <c r="H113" s="20" t="s">
        <v>2236</v>
      </c>
      <c r="I113" s="20"/>
      <c r="J113" s="11" t="s">
        <v>2251</v>
      </c>
      <c r="K113" s="11" t="s">
        <v>2251</v>
      </c>
      <c r="L113" s="20" t="s">
        <v>2236</v>
      </c>
      <c r="M113" s="20" t="s">
        <v>2236</v>
      </c>
      <c r="N113" s="20" t="s">
        <v>2237</v>
      </c>
      <c r="O113" s="20"/>
      <c r="P113" s="20"/>
      <c r="Q113" s="20"/>
    </row>
    <row r="114" spans="1:17" ht="15" x14ac:dyDescent="0.2">
      <c r="A114" s="20" t="s">
        <v>2002</v>
      </c>
      <c r="B114" s="20" t="s">
        <v>3035</v>
      </c>
      <c r="C114" s="20" t="s">
        <v>2236</v>
      </c>
      <c r="D114" s="20" t="s">
        <v>2237</v>
      </c>
      <c r="E114" s="20"/>
      <c r="F114" s="20" t="s">
        <v>3260</v>
      </c>
      <c r="G114" s="20" t="s">
        <v>3261</v>
      </c>
      <c r="H114" s="20" t="s">
        <v>2236</v>
      </c>
      <c r="I114" s="20"/>
      <c r="J114" s="11" t="s">
        <v>2252</v>
      </c>
      <c r="K114" s="11" t="s">
        <v>2252</v>
      </c>
      <c r="L114" s="20" t="s">
        <v>2236</v>
      </c>
      <c r="M114" s="20" t="s">
        <v>2236</v>
      </c>
      <c r="N114" s="20" t="s">
        <v>2237</v>
      </c>
      <c r="O114" s="20"/>
      <c r="P114" s="20"/>
      <c r="Q114" s="20"/>
    </row>
    <row r="115" spans="1:17" ht="15" x14ac:dyDescent="0.2">
      <c r="A115" s="20" t="s">
        <v>2002</v>
      </c>
      <c r="B115" s="20" t="s">
        <v>3035</v>
      </c>
      <c r="C115" s="20" t="s">
        <v>2236</v>
      </c>
      <c r="D115" s="20" t="s">
        <v>2237</v>
      </c>
      <c r="E115" s="20"/>
      <c r="F115" s="20" t="s">
        <v>3262</v>
      </c>
      <c r="G115" s="20" t="s">
        <v>3263</v>
      </c>
      <c r="H115" s="20" t="s">
        <v>2236</v>
      </c>
      <c r="I115" s="20"/>
      <c r="J115" s="11" t="s">
        <v>2253</v>
      </c>
      <c r="K115" s="11" t="s">
        <v>2253</v>
      </c>
      <c r="L115" s="20" t="s">
        <v>2236</v>
      </c>
      <c r="M115" s="20" t="s">
        <v>2236</v>
      </c>
      <c r="N115" s="20" t="s">
        <v>2237</v>
      </c>
      <c r="O115" s="20"/>
      <c r="P115" s="20"/>
      <c r="Q115" s="20"/>
    </row>
    <row r="116" spans="1:17" ht="15" x14ac:dyDescent="0.2">
      <c r="A116" s="20" t="s">
        <v>2002</v>
      </c>
      <c r="B116" s="20" t="s">
        <v>3035</v>
      </c>
      <c r="C116" s="20" t="s">
        <v>2236</v>
      </c>
      <c r="D116" s="20" t="s">
        <v>2237</v>
      </c>
      <c r="E116" s="20"/>
      <c r="F116" s="20" t="s">
        <v>3264</v>
      </c>
      <c r="G116" s="20" t="s">
        <v>3265</v>
      </c>
      <c r="H116" s="20" t="s">
        <v>2236</v>
      </c>
      <c r="I116" s="20"/>
      <c r="J116" s="11" t="s">
        <v>2254</v>
      </c>
      <c r="K116" s="11" t="s">
        <v>2254</v>
      </c>
      <c r="L116" s="20" t="s">
        <v>2236</v>
      </c>
      <c r="M116" s="20" t="s">
        <v>2236</v>
      </c>
      <c r="N116" s="20" t="s">
        <v>2237</v>
      </c>
      <c r="O116" s="20"/>
      <c r="P116" s="20"/>
      <c r="Q116" s="20"/>
    </row>
    <row r="117" spans="1:17" ht="15" x14ac:dyDescent="0.2">
      <c r="A117" s="20" t="s">
        <v>2002</v>
      </c>
      <c r="B117" s="20" t="s">
        <v>3035</v>
      </c>
      <c r="C117" s="20" t="s">
        <v>2236</v>
      </c>
      <c r="D117" s="20" t="s">
        <v>2237</v>
      </c>
      <c r="E117" s="20"/>
      <c r="F117" s="20" t="s">
        <v>3266</v>
      </c>
      <c r="G117" s="20" t="s">
        <v>3267</v>
      </c>
      <c r="H117" s="20" t="s">
        <v>2236</v>
      </c>
      <c r="I117" s="20"/>
      <c r="J117" s="11" t="s">
        <v>2255</v>
      </c>
      <c r="K117" s="11" t="s">
        <v>2255</v>
      </c>
      <c r="L117" s="20" t="s">
        <v>2236</v>
      </c>
      <c r="M117" s="20" t="s">
        <v>2236</v>
      </c>
      <c r="N117" s="20" t="s">
        <v>2237</v>
      </c>
      <c r="O117" s="20"/>
      <c r="P117" s="20"/>
      <c r="Q117" s="20"/>
    </row>
    <row r="118" spans="1:17" ht="15" x14ac:dyDescent="0.2">
      <c r="A118" s="20" t="s">
        <v>2002</v>
      </c>
      <c r="B118" s="20" t="s">
        <v>3035</v>
      </c>
      <c r="C118" s="20" t="s">
        <v>2236</v>
      </c>
      <c r="D118" s="20" t="s">
        <v>2237</v>
      </c>
      <c r="E118" s="20"/>
      <c r="F118" s="20" t="s">
        <v>3268</v>
      </c>
      <c r="G118" s="20" t="s">
        <v>3269</v>
      </c>
      <c r="H118" s="20" t="s">
        <v>2236</v>
      </c>
      <c r="I118" s="20"/>
      <c r="J118" s="11" t="s">
        <v>2256</v>
      </c>
      <c r="K118" s="11" t="s">
        <v>2256</v>
      </c>
      <c r="L118" s="20" t="s">
        <v>2236</v>
      </c>
      <c r="M118" s="20" t="s">
        <v>2236</v>
      </c>
      <c r="N118" s="20" t="s">
        <v>2237</v>
      </c>
      <c r="O118" s="20"/>
      <c r="P118" s="20"/>
      <c r="Q118" s="20"/>
    </row>
    <row r="119" spans="1:17" ht="15" x14ac:dyDescent="0.2">
      <c r="A119" s="20" t="s">
        <v>2002</v>
      </c>
      <c r="B119" s="20" t="s">
        <v>3035</v>
      </c>
      <c r="C119" s="20" t="s">
        <v>2236</v>
      </c>
      <c r="D119" s="20" t="s">
        <v>2237</v>
      </c>
      <c r="E119" s="20"/>
      <c r="F119" s="20" t="s">
        <v>3270</v>
      </c>
      <c r="G119" s="20" t="s">
        <v>3271</v>
      </c>
      <c r="H119" s="20" t="s">
        <v>2236</v>
      </c>
      <c r="I119" s="20"/>
      <c r="J119" s="11" t="s">
        <v>2257</v>
      </c>
      <c r="K119" s="11" t="s">
        <v>2257</v>
      </c>
      <c r="L119" s="20" t="s">
        <v>2236</v>
      </c>
      <c r="M119" s="20" t="s">
        <v>2236</v>
      </c>
      <c r="N119" s="20" t="s">
        <v>2237</v>
      </c>
      <c r="O119" s="20"/>
      <c r="P119" s="20"/>
      <c r="Q119" s="20"/>
    </row>
    <row r="120" spans="1:17" ht="15" x14ac:dyDescent="0.2">
      <c r="A120" s="20" t="s">
        <v>2002</v>
      </c>
      <c r="B120" s="20" t="s">
        <v>3035</v>
      </c>
      <c r="C120" s="20" t="s">
        <v>2236</v>
      </c>
      <c r="D120" s="20" t="s">
        <v>2237</v>
      </c>
      <c r="E120" s="20"/>
      <c r="F120" s="20" t="s">
        <v>3272</v>
      </c>
      <c r="G120" s="20" t="s">
        <v>3273</v>
      </c>
      <c r="H120" s="20" t="s">
        <v>2236</v>
      </c>
      <c r="I120" s="20"/>
      <c r="J120" s="11" t="s">
        <v>2258</v>
      </c>
      <c r="K120" s="11" t="s">
        <v>2258</v>
      </c>
      <c r="L120" s="20" t="s">
        <v>2236</v>
      </c>
      <c r="M120" s="20" t="s">
        <v>2236</v>
      </c>
      <c r="N120" s="20" t="s">
        <v>2237</v>
      </c>
      <c r="O120" s="20"/>
      <c r="P120" s="20"/>
      <c r="Q120" s="20"/>
    </row>
    <row r="121" spans="1:17" ht="15" x14ac:dyDescent="0.2">
      <c r="A121" s="20" t="s">
        <v>2002</v>
      </c>
      <c r="B121" s="20" t="s">
        <v>3035</v>
      </c>
      <c r="C121" s="20" t="s">
        <v>2236</v>
      </c>
      <c r="D121" s="20" t="s">
        <v>2237</v>
      </c>
      <c r="E121" s="20"/>
      <c r="F121" s="20" t="s">
        <v>3274</v>
      </c>
      <c r="G121" s="20" t="s">
        <v>3275</v>
      </c>
      <c r="H121" s="20" t="s">
        <v>2236</v>
      </c>
      <c r="I121" s="20"/>
      <c r="J121" s="11" t="s">
        <v>2259</v>
      </c>
      <c r="K121" s="11" t="s">
        <v>2259</v>
      </c>
      <c r="L121" s="20" t="s">
        <v>2236</v>
      </c>
      <c r="M121" s="20" t="s">
        <v>2236</v>
      </c>
      <c r="N121" s="20" t="s">
        <v>2237</v>
      </c>
      <c r="O121" s="20"/>
      <c r="P121" s="20"/>
      <c r="Q121" s="20"/>
    </row>
    <row r="122" spans="1:17" ht="15" x14ac:dyDescent="0.2">
      <c r="A122" s="20" t="s">
        <v>2002</v>
      </c>
      <c r="B122" s="20" t="s">
        <v>3035</v>
      </c>
      <c r="C122" s="20" t="s">
        <v>2236</v>
      </c>
      <c r="D122" s="20" t="s">
        <v>2237</v>
      </c>
      <c r="E122" s="20"/>
      <c r="F122" s="20" t="s">
        <v>3276</v>
      </c>
      <c r="G122" s="20" t="s">
        <v>3277</v>
      </c>
      <c r="H122" s="20" t="s">
        <v>2236</v>
      </c>
      <c r="I122" s="20"/>
      <c r="J122" s="11" t="s">
        <v>2260</v>
      </c>
      <c r="K122" s="11" t="s">
        <v>2260</v>
      </c>
      <c r="L122" s="20" t="s">
        <v>2236</v>
      </c>
      <c r="M122" s="20" t="s">
        <v>2236</v>
      </c>
      <c r="N122" s="20" t="s">
        <v>2237</v>
      </c>
      <c r="O122" s="20"/>
      <c r="P122" s="20"/>
      <c r="Q122" s="20"/>
    </row>
    <row r="123" spans="1:17" ht="15" x14ac:dyDescent="0.2">
      <c r="A123" s="20" t="s">
        <v>2002</v>
      </c>
      <c r="B123" s="20" t="s">
        <v>3035</v>
      </c>
      <c r="C123" s="20" t="s">
        <v>2236</v>
      </c>
      <c r="D123" s="20" t="s">
        <v>2237</v>
      </c>
      <c r="E123" s="20"/>
      <c r="F123" s="20" t="s">
        <v>3278</v>
      </c>
      <c r="G123" s="20" t="s">
        <v>3279</v>
      </c>
      <c r="H123" s="20" t="s">
        <v>2236</v>
      </c>
      <c r="I123" s="20"/>
      <c r="J123" s="11" t="s">
        <v>2261</v>
      </c>
      <c r="K123" s="11" t="s">
        <v>2261</v>
      </c>
      <c r="L123" s="20" t="s">
        <v>2236</v>
      </c>
      <c r="M123" s="20" t="s">
        <v>2236</v>
      </c>
      <c r="N123" s="20" t="s">
        <v>2237</v>
      </c>
      <c r="O123" s="20"/>
      <c r="P123" s="20"/>
      <c r="Q123" s="20"/>
    </row>
    <row r="124" spans="1:17" ht="15" x14ac:dyDescent="0.2">
      <c r="A124" s="20" t="s">
        <v>2002</v>
      </c>
      <c r="B124" s="20" t="s">
        <v>3035</v>
      </c>
      <c r="C124" s="20" t="s">
        <v>2236</v>
      </c>
      <c r="D124" s="20" t="s">
        <v>2237</v>
      </c>
      <c r="E124" s="20"/>
      <c r="F124" s="20" t="s">
        <v>3280</v>
      </c>
      <c r="G124" s="20" t="s">
        <v>3281</v>
      </c>
      <c r="H124" s="20" t="s">
        <v>2236</v>
      </c>
      <c r="I124" s="20"/>
      <c r="J124" s="11" t="s">
        <v>2262</v>
      </c>
      <c r="K124" s="11" t="s">
        <v>2262</v>
      </c>
      <c r="L124" s="20" t="s">
        <v>2236</v>
      </c>
      <c r="M124" s="20" t="s">
        <v>2236</v>
      </c>
      <c r="N124" s="20" t="s">
        <v>2237</v>
      </c>
      <c r="O124" s="20"/>
      <c r="P124" s="20"/>
      <c r="Q124" s="20"/>
    </row>
    <row r="125" spans="1:17" ht="15" x14ac:dyDescent="0.2">
      <c r="A125" s="20" t="s">
        <v>2002</v>
      </c>
      <c r="B125" s="20" t="s">
        <v>3035</v>
      </c>
      <c r="C125" s="20" t="s">
        <v>2236</v>
      </c>
      <c r="D125" s="20" t="s">
        <v>2237</v>
      </c>
      <c r="E125" s="20"/>
      <c r="F125" s="20" t="s">
        <v>3282</v>
      </c>
      <c r="G125" s="20" t="s">
        <v>3283</v>
      </c>
      <c r="H125" s="20" t="s">
        <v>2236</v>
      </c>
      <c r="I125" s="20"/>
      <c r="J125" s="11" t="s">
        <v>2263</v>
      </c>
      <c r="K125" s="11" t="s">
        <v>2263</v>
      </c>
      <c r="L125" s="20" t="s">
        <v>2236</v>
      </c>
      <c r="M125" s="20" t="s">
        <v>2236</v>
      </c>
      <c r="N125" s="20" t="s">
        <v>2237</v>
      </c>
      <c r="O125" s="20"/>
      <c r="P125" s="20"/>
      <c r="Q125" s="20"/>
    </row>
    <row r="126" spans="1:17" ht="15" x14ac:dyDescent="0.2">
      <c r="A126" s="20" t="s">
        <v>2002</v>
      </c>
      <c r="B126" s="20" t="s">
        <v>3035</v>
      </c>
      <c r="C126" s="20" t="s">
        <v>2236</v>
      </c>
      <c r="D126" s="20" t="s">
        <v>2237</v>
      </c>
      <c r="E126" s="20"/>
      <c r="F126" s="20" t="s">
        <v>3284</v>
      </c>
      <c r="G126" s="20" t="s">
        <v>3285</v>
      </c>
      <c r="H126" s="20" t="s">
        <v>2236</v>
      </c>
      <c r="I126" s="20"/>
      <c r="J126" s="11" t="s">
        <v>2264</v>
      </c>
      <c r="K126" s="11" t="s">
        <v>2264</v>
      </c>
      <c r="L126" s="20" t="s">
        <v>2236</v>
      </c>
      <c r="M126" s="20" t="s">
        <v>2236</v>
      </c>
      <c r="N126" s="20" t="s">
        <v>2237</v>
      </c>
      <c r="O126" s="20"/>
      <c r="P126" s="20"/>
      <c r="Q126" s="20"/>
    </row>
    <row r="127" spans="1:17" ht="15" x14ac:dyDescent="0.2">
      <c r="A127" s="20" t="s">
        <v>2002</v>
      </c>
      <c r="B127" s="20" t="s">
        <v>3035</v>
      </c>
      <c r="C127" s="20" t="s">
        <v>2236</v>
      </c>
      <c r="D127" s="20" t="s">
        <v>2237</v>
      </c>
      <c r="E127" s="20"/>
      <c r="F127" s="20" t="s">
        <v>3286</v>
      </c>
      <c r="G127" s="20" t="s">
        <v>3287</v>
      </c>
      <c r="H127" s="20" t="s">
        <v>2236</v>
      </c>
      <c r="I127" s="20"/>
      <c r="J127" s="11" t="s">
        <v>2265</v>
      </c>
      <c r="K127" s="11" t="s">
        <v>2265</v>
      </c>
      <c r="L127" s="20" t="s">
        <v>2236</v>
      </c>
      <c r="M127" s="20" t="s">
        <v>2236</v>
      </c>
      <c r="N127" s="20" t="s">
        <v>2237</v>
      </c>
      <c r="O127" s="20"/>
      <c r="P127" s="20"/>
      <c r="Q127" s="20"/>
    </row>
    <row r="128" spans="1:17" ht="15" x14ac:dyDescent="0.2">
      <c r="A128" s="20" t="s">
        <v>2002</v>
      </c>
      <c r="B128" s="20" t="s">
        <v>3035</v>
      </c>
      <c r="C128" s="20" t="s">
        <v>2236</v>
      </c>
      <c r="D128" s="20" t="s">
        <v>2237</v>
      </c>
      <c r="E128" s="20"/>
      <c r="F128" s="20" t="s">
        <v>3288</v>
      </c>
      <c r="G128" s="20" t="s">
        <v>3289</v>
      </c>
      <c r="H128" s="20" t="s">
        <v>2236</v>
      </c>
      <c r="I128" s="20"/>
      <c r="J128" s="11" t="s">
        <v>2266</v>
      </c>
      <c r="K128" s="11" t="s">
        <v>2266</v>
      </c>
      <c r="L128" s="20" t="s">
        <v>2236</v>
      </c>
      <c r="M128" s="20" t="s">
        <v>2236</v>
      </c>
      <c r="N128" s="20" t="s">
        <v>2237</v>
      </c>
      <c r="O128" s="20"/>
      <c r="P128" s="20"/>
      <c r="Q128" s="20"/>
    </row>
    <row r="129" spans="1:17" ht="15" x14ac:dyDescent="0.2">
      <c r="A129" s="20" t="s">
        <v>2002</v>
      </c>
      <c r="B129" s="20" t="s">
        <v>3035</v>
      </c>
      <c r="C129" s="20" t="s">
        <v>2236</v>
      </c>
      <c r="D129" s="20" t="s">
        <v>2237</v>
      </c>
      <c r="E129" s="20"/>
      <c r="F129" s="20" t="s">
        <v>3290</v>
      </c>
      <c r="G129" s="20" t="s">
        <v>3291</v>
      </c>
      <c r="H129" s="20" t="s">
        <v>2236</v>
      </c>
      <c r="I129" s="20"/>
      <c r="J129" s="11" t="s">
        <v>2267</v>
      </c>
      <c r="K129" s="11" t="s">
        <v>2267</v>
      </c>
      <c r="L129" s="20" t="s">
        <v>2236</v>
      </c>
      <c r="M129" s="20" t="s">
        <v>2236</v>
      </c>
      <c r="N129" s="20" t="s">
        <v>2237</v>
      </c>
      <c r="O129" s="20"/>
      <c r="P129" s="20"/>
      <c r="Q129" s="20"/>
    </row>
    <row r="130" spans="1:17" ht="15" x14ac:dyDescent="0.2">
      <c r="A130" s="20" t="s">
        <v>2002</v>
      </c>
      <c r="B130" s="20" t="s">
        <v>3035</v>
      </c>
      <c r="C130" s="20" t="s">
        <v>2236</v>
      </c>
      <c r="D130" s="20" t="s">
        <v>2237</v>
      </c>
      <c r="E130" s="20"/>
      <c r="F130" s="20" t="s">
        <v>3292</v>
      </c>
      <c r="G130" s="20" t="s">
        <v>3293</v>
      </c>
      <c r="H130" s="20" t="s">
        <v>2236</v>
      </c>
      <c r="I130" s="20"/>
      <c r="J130" s="11" t="s">
        <v>2268</v>
      </c>
      <c r="K130" s="11" t="s">
        <v>2268</v>
      </c>
      <c r="L130" s="20" t="s">
        <v>2236</v>
      </c>
      <c r="M130" s="20" t="s">
        <v>2236</v>
      </c>
      <c r="N130" s="20" t="s">
        <v>2237</v>
      </c>
      <c r="O130" s="20"/>
      <c r="P130" s="20"/>
      <c r="Q130" s="20"/>
    </row>
    <row r="131" spans="1:17" ht="15" x14ac:dyDescent="0.2">
      <c r="A131" s="20" t="s">
        <v>2002</v>
      </c>
      <c r="B131" s="20" t="s">
        <v>3035</v>
      </c>
      <c r="C131" s="20" t="s">
        <v>2236</v>
      </c>
      <c r="D131" s="20" t="s">
        <v>2237</v>
      </c>
      <c r="E131" s="20"/>
      <c r="F131" s="20" t="s">
        <v>3294</v>
      </c>
      <c r="G131" s="20" t="s">
        <v>3295</v>
      </c>
      <c r="H131" s="20" t="s">
        <v>2236</v>
      </c>
      <c r="I131" s="20"/>
      <c r="J131" s="11" t="s">
        <v>2269</v>
      </c>
      <c r="K131" s="11" t="s">
        <v>2269</v>
      </c>
      <c r="L131" s="20" t="s">
        <v>2236</v>
      </c>
      <c r="M131" s="20" t="s">
        <v>2236</v>
      </c>
      <c r="N131" s="20" t="s">
        <v>2237</v>
      </c>
      <c r="O131" s="20"/>
      <c r="P131" s="20"/>
      <c r="Q131" s="20"/>
    </row>
    <row r="132" spans="1:17" ht="15" x14ac:dyDescent="0.2">
      <c r="A132" s="20" t="s">
        <v>2002</v>
      </c>
      <c r="B132" s="20" t="s">
        <v>3035</v>
      </c>
      <c r="C132" s="20" t="s">
        <v>2236</v>
      </c>
      <c r="D132" s="20" t="s">
        <v>2237</v>
      </c>
      <c r="E132" s="20"/>
      <c r="F132" s="20" t="s">
        <v>3296</v>
      </c>
      <c r="G132" s="20" t="s">
        <v>3297</v>
      </c>
      <c r="H132" s="20" t="s">
        <v>2236</v>
      </c>
      <c r="I132" s="20"/>
      <c r="J132" s="11" t="s">
        <v>2270</v>
      </c>
      <c r="K132" s="11" t="s">
        <v>2270</v>
      </c>
      <c r="L132" s="20" t="s">
        <v>2236</v>
      </c>
      <c r="M132" s="20" t="s">
        <v>2236</v>
      </c>
      <c r="N132" s="20" t="s">
        <v>2237</v>
      </c>
      <c r="O132" s="20"/>
      <c r="P132" s="20"/>
      <c r="Q132" s="20"/>
    </row>
    <row r="133" spans="1:17" ht="15" x14ac:dyDescent="0.2">
      <c r="A133" s="20" t="s">
        <v>2002</v>
      </c>
      <c r="B133" s="20" t="s">
        <v>3035</v>
      </c>
      <c r="C133" s="20" t="s">
        <v>2236</v>
      </c>
      <c r="D133" s="20" t="s">
        <v>2237</v>
      </c>
      <c r="E133" s="20"/>
      <c r="F133" s="20" t="s">
        <v>3298</v>
      </c>
      <c r="G133" s="20" t="s">
        <v>3299</v>
      </c>
      <c r="H133" s="20" t="s">
        <v>2236</v>
      </c>
      <c r="I133" s="20"/>
      <c r="J133" s="11" t="s">
        <v>2271</v>
      </c>
      <c r="K133" s="11" t="s">
        <v>2271</v>
      </c>
      <c r="L133" s="20" t="s">
        <v>2236</v>
      </c>
      <c r="M133" s="20" t="s">
        <v>2236</v>
      </c>
      <c r="N133" s="20" t="s">
        <v>2237</v>
      </c>
      <c r="O133" s="20"/>
      <c r="P133" s="20"/>
      <c r="Q133" s="20"/>
    </row>
    <row r="134" spans="1:17" ht="15" x14ac:dyDescent="0.2">
      <c r="A134" s="20" t="s">
        <v>2002</v>
      </c>
      <c r="B134" s="20" t="s">
        <v>3035</v>
      </c>
      <c r="C134" s="20" t="s">
        <v>2236</v>
      </c>
      <c r="D134" s="20" t="s">
        <v>2237</v>
      </c>
      <c r="E134" s="20"/>
      <c r="F134" s="20" t="s">
        <v>3300</v>
      </c>
      <c r="G134" s="20" t="s">
        <v>3301</v>
      </c>
      <c r="H134" s="20" t="s">
        <v>2236</v>
      </c>
      <c r="I134" s="20"/>
      <c r="J134" s="11" t="s">
        <v>2272</v>
      </c>
      <c r="K134" s="11" t="s">
        <v>2272</v>
      </c>
      <c r="L134" s="20" t="s">
        <v>2236</v>
      </c>
      <c r="M134" s="20" t="s">
        <v>2236</v>
      </c>
      <c r="N134" s="20" t="s">
        <v>2237</v>
      </c>
      <c r="O134" s="20"/>
      <c r="P134" s="20"/>
      <c r="Q134" s="20"/>
    </row>
    <row r="135" spans="1:17" ht="15" x14ac:dyDescent="0.2">
      <c r="A135" s="20" t="s">
        <v>2002</v>
      </c>
      <c r="B135" s="20" t="s">
        <v>3035</v>
      </c>
      <c r="C135" s="20" t="s">
        <v>2236</v>
      </c>
      <c r="D135" s="20" t="s">
        <v>2237</v>
      </c>
      <c r="E135" s="20"/>
      <c r="F135" s="20" t="s">
        <v>3302</v>
      </c>
      <c r="G135" s="20" t="s">
        <v>3303</v>
      </c>
      <c r="H135" s="20" t="s">
        <v>2236</v>
      </c>
      <c r="I135" s="20"/>
      <c r="J135" s="11" t="s">
        <v>2273</v>
      </c>
      <c r="K135" s="11" t="s">
        <v>2273</v>
      </c>
      <c r="L135" s="20" t="s">
        <v>2236</v>
      </c>
      <c r="M135" s="20" t="s">
        <v>2236</v>
      </c>
      <c r="N135" s="20" t="s">
        <v>2237</v>
      </c>
      <c r="O135" s="20"/>
      <c r="P135" s="20"/>
      <c r="Q135" s="20"/>
    </row>
    <row r="136" spans="1:17" ht="15" x14ac:dyDescent="0.2">
      <c r="A136" s="20" t="s">
        <v>2002</v>
      </c>
      <c r="B136" s="20" t="s">
        <v>3035</v>
      </c>
      <c r="C136" s="20" t="s">
        <v>2236</v>
      </c>
      <c r="D136" s="20" t="s">
        <v>2237</v>
      </c>
      <c r="E136" s="20"/>
      <c r="F136" s="20" t="s">
        <v>3304</v>
      </c>
      <c r="G136" s="20" t="s">
        <v>3305</v>
      </c>
      <c r="H136" s="20" t="s">
        <v>2236</v>
      </c>
      <c r="I136" s="20"/>
      <c r="J136" s="11" t="s">
        <v>2274</v>
      </c>
      <c r="K136" s="11" t="s">
        <v>2274</v>
      </c>
      <c r="L136" s="20" t="s">
        <v>2236</v>
      </c>
      <c r="M136" s="20" t="s">
        <v>2236</v>
      </c>
      <c r="N136" s="20" t="s">
        <v>2237</v>
      </c>
      <c r="O136" s="20"/>
      <c r="P136" s="20"/>
      <c r="Q136" s="20"/>
    </row>
    <row r="137" spans="1:17" ht="15" x14ac:dyDescent="0.2">
      <c r="A137" s="20" t="s">
        <v>2002</v>
      </c>
      <c r="B137" s="20" t="s">
        <v>3035</v>
      </c>
      <c r="C137" s="20" t="s">
        <v>2236</v>
      </c>
      <c r="D137" s="20" t="s">
        <v>2237</v>
      </c>
      <c r="E137" s="20"/>
      <c r="F137" s="20" t="s">
        <v>3306</v>
      </c>
      <c r="G137" s="20" t="s">
        <v>3307</v>
      </c>
      <c r="H137" s="20" t="s">
        <v>2236</v>
      </c>
      <c r="I137" s="20"/>
      <c r="J137" s="11" t="s">
        <v>2149</v>
      </c>
      <c r="K137" s="11" t="s">
        <v>2149</v>
      </c>
      <c r="L137" s="20" t="s">
        <v>2236</v>
      </c>
      <c r="M137" s="20" t="s">
        <v>2236</v>
      </c>
      <c r="N137" s="20" t="s">
        <v>2237</v>
      </c>
      <c r="O137" s="20"/>
      <c r="P137" s="20"/>
      <c r="Q137" s="20"/>
    </row>
    <row r="138" spans="1:17" ht="15" x14ac:dyDescent="0.2">
      <c r="A138" s="20" t="s">
        <v>2002</v>
      </c>
      <c r="B138" s="20" t="s">
        <v>3035</v>
      </c>
      <c r="C138" s="20" t="s">
        <v>2236</v>
      </c>
      <c r="D138" s="20" t="s">
        <v>2237</v>
      </c>
      <c r="E138" s="20"/>
      <c r="F138" s="20" t="s">
        <v>3308</v>
      </c>
      <c r="G138" s="20" t="s">
        <v>3309</v>
      </c>
      <c r="H138" s="20" t="s">
        <v>2236</v>
      </c>
      <c r="I138" s="20"/>
      <c r="J138" s="11" t="s">
        <v>287</v>
      </c>
      <c r="K138" s="11" t="s">
        <v>287</v>
      </c>
      <c r="L138" s="20" t="s">
        <v>2236</v>
      </c>
      <c r="M138" s="20" t="s">
        <v>2236</v>
      </c>
      <c r="N138" s="20" t="s">
        <v>2237</v>
      </c>
      <c r="O138" s="20"/>
      <c r="P138" s="20"/>
      <c r="Q138" s="20"/>
    </row>
    <row r="139" spans="1:17" ht="15" x14ac:dyDescent="0.2">
      <c r="A139" s="20" t="s">
        <v>2002</v>
      </c>
      <c r="B139" s="20" t="s">
        <v>3035</v>
      </c>
      <c r="C139" s="20" t="s">
        <v>2236</v>
      </c>
      <c r="D139" s="20" t="s">
        <v>2237</v>
      </c>
      <c r="E139" s="20"/>
      <c r="F139" s="20" t="s">
        <v>3310</v>
      </c>
      <c r="G139" s="20" t="s">
        <v>3311</v>
      </c>
      <c r="H139" s="20" t="s">
        <v>2236</v>
      </c>
      <c r="I139" s="20"/>
      <c r="J139" s="11" t="s">
        <v>2275</v>
      </c>
      <c r="K139" s="11" t="s">
        <v>2275</v>
      </c>
      <c r="L139" s="20" t="s">
        <v>2236</v>
      </c>
      <c r="M139" s="20" t="s">
        <v>2236</v>
      </c>
      <c r="N139" s="20" t="s">
        <v>2237</v>
      </c>
      <c r="O139" s="20"/>
      <c r="P139" s="20"/>
      <c r="Q139" s="20"/>
    </row>
    <row r="140" spans="1:17" ht="15" x14ac:dyDescent="0.2">
      <c r="A140" s="20" t="s">
        <v>2002</v>
      </c>
      <c r="B140" s="20" t="s">
        <v>3035</v>
      </c>
      <c r="C140" s="20" t="s">
        <v>2236</v>
      </c>
      <c r="D140" s="20" t="s">
        <v>2237</v>
      </c>
      <c r="E140" s="20"/>
      <c r="F140" s="20" t="s">
        <v>3312</v>
      </c>
      <c r="G140" s="20" t="s">
        <v>3313</v>
      </c>
      <c r="H140" s="20" t="s">
        <v>2236</v>
      </c>
      <c r="I140" s="20"/>
      <c r="J140" s="11" t="s">
        <v>2276</v>
      </c>
      <c r="K140" s="11" t="s">
        <v>2276</v>
      </c>
      <c r="L140" s="20" t="s">
        <v>2236</v>
      </c>
      <c r="M140" s="20" t="s">
        <v>2236</v>
      </c>
      <c r="N140" s="20" t="s">
        <v>2237</v>
      </c>
      <c r="O140" s="20"/>
      <c r="P140" s="20"/>
      <c r="Q140" s="20"/>
    </row>
    <row r="141" spans="1:17" ht="15" x14ac:dyDescent="0.2">
      <c r="A141" s="20" t="s">
        <v>2002</v>
      </c>
      <c r="B141" s="20" t="s">
        <v>3035</v>
      </c>
      <c r="C141" s="20" t="s">
        <v>2236</v>
      </c>
      <c r="D141" s="20" t="s">
        <v>2237</v>
      </c>
      <c r="E141" s="20"/>
      <c r="F141" s="20" t="s">
        <v>3314</v>
      </c>
      <c r="G141" s="20" t="s">
        <v>3315</v>
      </c>
      <c r="H141" s="20" t="s">
        <v>2236</v>
      </c>
      <c r="I141" s="20"/>
      <c r="J141" s="11" t="s">
        <v>2277</v>
      </c>
      <c r="K141" s="11" t="s">
        <v>2277</v>
      </c>
      <c r="L141" s="20" t="s">
        <v>2236</v>
      </c>
      <c r="M141" s="20" t="s">
        <v>2236</v>
      </c>
      <c r="N141" s="20" t="s">
        <v>2237</v>
      </c>
      <c r="O141" s="20"/>
      <c r="P141" s="20"/>
      <c r="Q141" s="20"/>
    </row>
    <row r="142" spans="1:17" ht="15" x14ac:dyDescent="0.2">
      <c r="A142" s="20" t="s">
        <v>2002</v>
      </c>
      <c r="B142" s="20" t="s">
        <v>3035</v>
      </c>
      <c r="C142" s="20" t="s">
        <v>2236</v>
      </c>
      <c r="D142" s="20" t="s">
        <v>2237</v>
      </c>
      <c r="E142" s="20"/>
      <c r="F142" s="20" t="s">
        <v>3316</v>
      </c>
      <c r="G142" s="20" t="s">
        <v>3317</v>
      </c>
      <c r="H142" s="20" t="s">
        <v>2236</v>
      </c>
      <c r="I142" s="20"/>
      <c r="J142" s="11" t="s">
        <v>2278</v>
      </c>
      <c r="K142" s="11" t="s">
        <v>2278</v>
      </c>
      <c r="L142" s="20" t="s">
        <v>2236</v>
      </c>
      <c r="M142" s="20" t="s">
        <v>2236</v>
      </c>
      <c r="N142" s="20" t="s">
        <v>2237</v>
      </c>
      <c r="O142" s="20"/>
      <c r="P142" s="20"/>
      <c r="Q142" s="20"/>
    </row>
    <row r="143" spans="1:17" ht="15" x14ac:dyDescent="0.2">
      <c r="A143" s="20" t="s">
        <v>2002</v>
      </c>
      <c r="B143" s="20" t="s">
        <v>3035</v>
      </c>
      <c r="C143" s="20" t="s">
        <v>2236</v>
      </c>
      <c r="D143" s="20" t="s">
        <v>2237</v>
      </c>
      <c r="E143" s="20"/>
      <c r="F143" s="20" t="s">
        <v>3318</v>
      </c>
      <c r="G143" s="20" t="s">
        <v>3319</v>
      </c>
      <c r="H143" s="20" t="s">
        <v>2236</v>
      </c>
      <c r="I143" s="20"/>
      <c r="J143" s="11" t="s">
        <v>2279</v>
      </c>
      <c r="K143" s="11" t="s">
        <v>2279</v>
      </c>
      <c r="L143" s="20" t="s">
        <v>2236</v>
      </c>
      <c r="M143" s="20" t="s">
        <v>2236</v>
      </c>
      <c r="N143" s="20" t="s">
        <v>2237</v>
      </c>
      <c r="O143" s="20"/>
      <c r="P143" s="20"/>
      <c r="Q143" s="20"/>
    </row>
    <row r="144" spans="1:17" ht="15" x14ac:dyDescent="0.2">
      <c r="A144" s="20" t="s">
        <v>2002</v>
      </c>
      <c r="B144" s="20" t="s">
        <v>3035</v>
      </c>
      <c r="C144" s="20" t="s">
        <v>2236</v>
      </c>
      <c r="D144" s="20" t="s">
        <v>2237</v>
      </c>
      <c r="E144" s="20"/>
      <c r="F144" s="20" t="s">
        <v>3320</v>
      </c>
      <c r="G144" s="20" t="s">
        <v>3321</v>
      </c>
      <c r="H144" s="20" t="s">
        <v>2236</v>
      </c>
      <c r="I144" s="20"/>
      <c r="J144" s="11" t="s">
        <v>2280</v>
      </c>
      <c r="K144" s="11" t="s">
        <v>2280</v>
      </c>
      <c r="L144" s="20" t="s">
        <v>2236</v>
      </c>
      <c r="M144" s="20" t="s">
        <v>2236</v>
      </c>
      <c r="N144" s="20" t="s">
        <v>2237</v>
      </c>
      <c r="O144" s="20"/>
      <c r="P144" s="20"/>
      <c r="Q144" s="20"/>
    </row>
    <row r="145" spans="1:17" ht="15" x14ac:dyDescent="0.2">
      <c r="A145" s="20" t="s">
        <v>2002</v>
      </c>
      <c r="B145" s="20" t="s">
        <v>3035</v>
      </c>
      <c r="C145" s="20" t="s">
        <v>2236</v>
      </c>
      <c r="D145" s="20" t="s">
        <v>2237</v>
      </c>
      <c r="E145" s="20"/>
      <c r="F145" s="20" t="s">
        <v>3322</v>
      </c>
      <c r="G145" s="20" t="s">
        <v>3323</v>
      </c>
      <c r="H145" s="20" t="s">
        <v>2236</v>
      </c>
      <c r="I145" s="20"/>
      <c r="J145" s="11" t="s">
        <v>2281</v>
      </c>
      <c r="K145" s="11" t="s">
        <v>2281</v>
      </c>
      <c r="L145" s="20" t="s">
        <v>2236</v>
      </c>
      <c r="M145" s="20" t="s">
        <v>2236</v>
      </c>
      <c r="N145" s="20" t="s">
        <v>2237</v>
      </c>
      <c r="O145" s="20"/>
      <c r="P145" s="20"/>
      <c r="Q145" s="20"/>
    </row>
    <row r="146" spans="1:17" ht="15" x14ac:dyDescent="0.2">
      <c r="A146" s="20" t="s">
        <v>2002</v>
      </c>
      <c r="B146" s="20" t="s">
        <v>3035</v>
      </c>
      <c r="C146" s="20" t="s">
        <v>2236</v>
      </c>
      <c r="D146" s="20" t="s">
        <v>2237</v>
      </c>
      <c r="E146" s="20"/>
      <c r="F146" s="20" t="s">
        <v>3324</v>
      </c>
      <c r="G146" s="20" t="s">
        <v>3325</v>
      </c>
      <c r="H146" s="20" t="s">
        <v>2236</v>
      </c>
      <c r="I146" s="20"/>
      <c r="J146" s="11" t="s">
        <v>2282</v>
      </c>
      <c r="K146" s="11" t="s">
        <v>2282</v>
      </c>
      <c r="L146" s="20" t="s">
        <v>2236</v>
      </c>
      <c r="M146" s="20" t="s">
        <v>2236</v>
      </c>
      <c r="N146" s="20" t="s">
        <v>2237</v>
      </c>
      <c r="O146" s="20"/>
      <c r="P146" s="20"/>
      <c r="Q146" s="20"/>
    </row>
    <row r="147" spans="1:17" ht="15" x14ac:dyDescent="0.2">
      <c r="A147" s="20" t="s">
        <v>2002</v>
      </c>
      <c r="B147" s="20" t="s">
        <v>3035</v>
      </c>
      <c r="C147" s="20" t="s">
        <v>2236</v>
      </c>
      <c r="D147" s="20" t="s">
        <v>2237</v>
      </c>
      <c r="E147" s="20"/>
      <c r="F147" s="20" t="s">
        <v>3326</v>
      </c>
      <c r="G147" s="20" t="s">
        <v>3327</v>
      </c>
      <c r="H147" s="20" t="s">
        <v>2236</v>
      </c>
      <c r="I147" s="20"/>
      <c r="J147" s="11" t="s">
        <v>2283</v>
      </c>
      <c r="K147" s="11" t="s">
        <v>2283</v>
      </c>
      <c r="L147" s="20" t="s">
        <v>2236</v>
      </c>
      <c r="M147" s="20" t="s">
        <v>2236</v>
      </c>
      <c r="N147" s="20" t="s">
        <v>2237</v>
      </c>
      <c r="O147" s="20"/>
      <c r="P147" s="20"/>
      <c r="Q147" s="20"/>
    </row>
    <row r="148" spans="1:17" ht="15" x14ac:dyDescent="0.2">
      <c r="A148" s="20" t="s">
        <v>2002</v>
      </c>
      <c r="B148" s="20" t="s">
        <v>3035</v>
      </c>
      <c r="C148" s="20" t="s">
        <v>2236</v>
      </c>
      <c r="D148" s="20" t="s">
        <v>2237</v>
      </c>
      <c r="E148" s="20"/>
      <c r="F148" s="20" t="s">
        <v>3328</v>
      </c>
      <c r="G148" s="20" t="s">
        <v>3329</v>
      </c>
      <c r="H148" s="20" t="s">
        <v>2236</v>
      </c>
      <c r="I148" s="20"/>
      <c r="J148" s="11" t="s">
        <v>2284</v>
      </c>
      <c r="K148" s="11" t="s">
        <v>2284</v>
      </c>
      <c r="L148" s="20" t="s">
        <v>2236</v>
      </c>
      <c r="M148" s="20" t="s">
        <v>2236</v>
      </c>
      <c r="N148" s="20" t="s">
        <v>2237</v>
      </c>
      <c r="O148" s="20"/>
      <c r="P148" s="20"/>
      <c r="Q148" s="20"/>
    </row>
    <row r="149" spans="1:17" ht="15" x14ac:dyDescent="0.2">
      <c r="A149" s="20" t="s">
        <v>2002</v>
      </c>
      <c r="B149" s="20" t="s">
        <v>3035</v>
      </c>
      <c r="C149" s="20" t="s">
        <v>2236</v>
      </c>
      <c r="D149" s="20" t="s">
        <v>2237</v>
      </c>
      <c r="E149" s="20"/>
      <c r="F149" s="20" t="s">
        <v>3330</v>
      </c>
      <c r="G149" s="20" t="s">
        <v>3331</v>
      </c>
      <c r="H149" s="20" t="s">
        <v>2236</v>
      </c>
      <c r="I149" s="20"/>
      <c r="J149" s="11" t="s">
        <v>2285</v>
      </c>
      <c r="K149" s="11" t="s">
        <v>2285</v>
      </c>
      <c r="L149" s="20" t="s">
        <v>2236</v>
      </c>
      <c r="M149" s="20" t="s">
        <v>2236</v>
      </c>
      <c r="N149" s="20" t="s">
        <v>2237</v>
      </c>
      <c r="O149" s="20"/>
      <c r="P149" s="20"/>
      <c r="Q149" s="20"/>
    </row>
    <row r="150" spans="1:17" ht="15" x14ac:dyDescent="0.2">
      <c r="A150" s="20" t="s">
        <v>2002</v>
      </c>
      <c r="B150" s="20" t="s">
        <v>3035</v>
      </c>
      <c r="C150" s="20" t="s">
        <v>2236</v>
      </c>
      <c r="D150" s="20" t="s">
        <v>2237</v>
      </c>
      <c r="E150" s="20"/>
      <c r="F150" s="20" t="s">
        <v>3332</v>
      </c>
      <c r="G150" s="20" t="s">
        <v>3333</v>
      </c>
      <c r="H150" s="20" t="s">
        <v>2236</v>
      </c>
      <c r="I150" s="20"/>
      <c r="J150" s="11" t="s">
        <v>2286</v>
      </c>
      <c r="K150" s="11" t="s">
        <v>2286</v>
      </c>
      <c r="L150" s="20" t="s">
        <v>2236</v>
      </c>
      <c r="M150" s="20" t="s">
        <v>2236</v>
      </c>
      <c r="N150" s="20" t="s">
        <v>2237</v>
      </c>
      <c r="O150" s="20"/>
      <c r="P150" s="20"/>
      <c r="Q150" s="20"/>
    </row>
    <row r="151" spans="1:17" ht="15" x14ac:dyDescent="0.2">
      <c r="A151" s="20" t="s">
        <v>2002</v>
      </c>
      <c r="B151" s="20" t="s">
        <v>3035</v>
      </c>
      <c r="C151" s="20" t="s">
        <v>2236</v>
      </c>
      <c r="D151" s="20" t="s">
        <v>2237</v>
      </c>
      <c r="E151" s="20"/>
      <c r="F151" s="20" t="s">
        <v>3334</v>
      </c>
      <c r="G151" s="20" t="s">
        <v>3335</v>
      </c>
      <c r="H151" s="20" t="s">
        <v>2236</v>
      </c>
      <c r="I151" s="20"/>
      <c r="J151" s="11" t="s">
        <v>2287</v>
      </c>
      <c r="K151" s="11" t="s">
        <v>2287</v>
      </c>
      <c r="L151" s="20" t="s">
        <v>2236</v>
      </c>
      <c r="M151" s="20" t="s">
        <v>2236</v>
      </c>
      <c r="N151" s="20" t="s">
        <v>2237</v>
      </c>
      <c r="O151" s="20"/>
      <c r="P151" s="20"/>
      <c r="Q151" s="20"/>
    </row>
    <row r="152" spans="1:17" ht="15" x14ac:dyDescent="0.2">
      <c r="A152" s="20" t="s">
        <v>2002</v>
      </c>
      <c r="B152" s="20" t="s">
        <v>3035</v>
      </c>
      <c r="C152" s="20" t="s">
        <v>2236</v>
      </c>
      <c r="D152" s="20" t="s">
        <v>2237</v>
      </c>
      <c r="E152" s="20"/>
      <c r="F152" s="20" t="s">
        <v>3336</v>
      </c>
      <c r="G152" s="20" t="s">
        <v>3337</v>
      </c>
      <c r="H152" s="20" t="s">
        <v>2236</v>
      </c>
      <c r="I152" s="20"/>
      <c r="J152" s="11" t="s">
        <v>2288</v>
      </c>
      <c r="K152" s="11" t="s">
        <v>2288</v>
      </c>
      <c r="L152" s="20" t="s">
        <v>2236</v>
      </c>
      <c r="M152" s="20" t="s">
        <v>2236</v>
      </c>
      <c r="N152" s="20" t="s">
        <v>2237</v>
      </c>
      <c r="O152" s="20"/>
      <c r="P152" s="20"/>
      <c r="Q152" s="20"/>
    </row>
    <row r="153" spans="1:17" ht="15" x14ac:dyDescent="0.2">
      <c r="A153" s="20" t="s">
        <v>2002</v>
      </c>
      <c r="B153" s="20" t="s">
        <v>3035</v>
      </c>
      <c r="C153" s="20" t="s">
        <v>2236</v>
      </c>
      <c r="D153" s="20" t="s">
        <v>2237</v>
      </c>
      <c r="E153" s="20"/>
      <c r="F153" s="20" t="s">
        <v>3338</v>
      </c>
      <c r="G153" s="20" t="s">
        <v>3339</v>
      </c>
      <c r="H153" s="20" t="s">
        <v>2236</v>
      </c>
      <c r="I153" s="20"/>
      <c r="J153" s="11" t="s">
        <v>2289</v>
      </c>
      <c r="K153" s="11" t="s">
        <v>2289</v>
      </c>
      <c r="L153" s="20" t="s">
        <v>2236</v>
      </c>
      <c r="M153" s="20" t="s">
        <v>2236</v>
      </c>
      <c r="N153" s="20" t="s">
        <v>2237</v>
      </c>
      <c r="O153" s="20"/>
      <c r="P153" s="20"/>
      <c r="Q153" s="20"/>
    </row>
    <row r="154" spans="1:17" ht="15" x14ac:dyDescent="0.2">
      <c r="A154" s="20" t="s">
        <v>2002</v>
      </c>
      <c r="B154" s="20" t="s">
        <v>3035</v>
      </c>
      <c r="C154" s="20" t="s">
        <v>2236</v>
      </c>
      <c r="D154" s="20" t="s">
        <v>2237</v>
      </c>
      <c r="E154" s="20"/>
      <c r="F154" s="20" t="s">
        <v>3340</v>
      </c>
      <c r="G154" s="20" t="s">
        <v>3341</v>
      </c>
      <c r="H154" s="20" t="s">
        <v>2236</v>
      </c>
      <c r="I154" s="20"/>
      <c r="J154" s="11" t="s">
        <v>2290</v>
      </c>
      <c r="K154" s="11" t="s">
        <v>2290</v>
      </c>
      <c r="L154" s="20" t="s">
        <v>2236</v>
      </c>
      <c r="M154" s="20" t="s">
        <v>2236</v>
      </c>
      <c r="N154" s="20" t="s">
        <v>2237</v>
      </c>
      <c r="O154" s="20"/>
      <c r="P154" s="20"/>
      <c r="Q154" s="20"/>
    </row>
    <row r="155" spans="1:17" ht="15" x14ac:dyDescent="0.2">
      <c r="A155" s="20" t="s">
        <v>2002</v>
      </c>
      <c r="B155" s="20" t="s">
        <v>3035</v>
      </c>
      <c r="C155" s="20" t="s">
        <v>2236</v>
      </c>
      <c r="D155" s="20" t="s">
        <v>2237</v>
      </c>
      <c r="E155" s="20"/>
      <c r="F155" s="20" t="s">
        <v>3342</v>
      </c>
      <c r="G155" s="20" t="s">
        <v>3343</v>
      </c>
      <c r="H155" s="20" t="s">
        <v>2236</v>
      </c>
      <c r="I155" s="20"/>
      <c r="J155" s="11" t="s">
        <v>2291</v>
      </c>
      <c r="K155" s="11" t="s">
        <v>2291</v>
      </c>
      <c r="L155" s="20" t="s">
        <v>2236</v>
      </c>
      <c r="M155" s="20" t="s">
        <v>2236</v>
      </c>
      <c r="N155" s="20" t="s">
        <v>2237</v>
      </c>
      <c r="O155" s="20"/>
      <c r="P155" s="20"/>
      <c r="Q155" s="20"/>
    </row>
    <row r="156" spans="1:17" ht="15" x14ac:dyDescent="0.2">
      <c r="A156" s="20" t="s">
        <v>2002</v>
      </c>
      <c r="B156" s="20" t="s">
        <v>3035</v>
      </c>
      <c r="C156" s="20" t="s">
        <v>2236</v>
      </c>
      <c r="D156" s="20" t="s">
        <v>2237</v>
      </c>
      <c r="E156" s="20"/>
      <c r="F156" s="20" t="s">
        <v>3344</v>
      </c>
      <c r="G156" s="20" t="s">
        <v>3345</v>
      </c>
      <c r="H156" s="20" t="s">
        <v>2236</v>
      </c>
      <c r="I156" s="20"/>
      <c r="J156" s="11" t="s">
        <v>2292</v>
      </c>
      <c r="K156" s="11" t="s">
        <v>2292</v>
      </c>
      <c r="L156" s="20" t="s">
        <v>2236</v>
      </c>
      <c r="M156" s="20" t="s">
        <v>2236</v>
      </c>
      <c r="N156" s="20" t="s">
        <v>2237</v>
      </c>
      <c r="O156" s="20"/>
      <c r="P156" s="20"/>
      <c r="Q156" s="20"/>
    </row>
    <row r="157" spans="1:17" ht="15" x14ac:dyDescent="0.2">
      <c r="A157" s="20" t="s">
        <v>2002</v>
      </c>
      <c r="B157" s="20" t="s">
        <v>3035</v>
      </c>
      <c r="C157" s="20" t="s">
        <v>2236</v>
      </c>
      <c r="D157" s="20" t="s">
        <v>2237</v>
      </c>
      <c r="E157" s="20"/>
      <c r="F157" s="20" t="s">
        <v>3346</v>
      </c>
      <c r="G157" s="20" t="s">
        <v>3347</v>
      </c>
      <c r="H157" s="20" t="s">
        <v>2236</v>
      </c>
      <c r="I157" s="20"/>
      <c r="J157" s="11" t="s">
        <v>2293</v>
      </c>
      <c r="K157" s="11" t="s">
        <v>2293</v>
      </c>
      <c r="L157" s="20" t="s">
        <v>2236</v>
      </c>
      <c r="M157" s="20" t="s">
        <v>2236</v>
      </c>
      <c r="N157" s="20" t="s">
        <v>2237</v>
      </c>
      <c r="O157" s="20"/>
      <c r="P157" s="20"/>
      <c r="Q157" s="20"/>
    </row>
    <row r="158" spans="1:17" ht="15" x14ac:dyDescent="0.2">
      <c r="A158" s="20" t="s">
        <v>2002</v>
      </c>
      <c r="B158" s="20" t="s">
        <v>3035</v>
      </c>
      <c r="C158" s="20" t="s">
        <v>2236</v>
      </c>
      <c r="D158" s="20" t="s">
        <v>2237</v>
      </c>
      <c r="E158" s="20"/>
      <c r="F158" s="20" t="s">
        <v>3348</v>
      </c>
      <c r="G158" s="20" t="s">
        <v>3349</v>
      </c>
      <c r="H158" s="20" t="s">
        <v>2236</v>
      </c>
      <c r="I158" s="20"/>
      <c r="J158" s="11" t="s">
        <v>2294</v>
      </c>
      <c r="K158" s="11" t="s">
        <v>2294</v>
      </c>
      <c r="L158" s="20" t="s">
        <v>2236</v>
      </c>
      <c r="M158" s="20" t="s">
        <v>2236</v>
      </c>
      <c r="N158" s="20" t="s">
        <v>2237</v>
      </c>
      <c r="O158" s="20"/>
      <c r="P158" s="20"/>
      <c r="Q158" s="20"/>
    </row>
    <row r="159" spans="1:17" ht="15" x14ac:dyDescent="0.2">
      <c r="A159" s="20" t="s">
        <v>2002</v>
      </c>
      <c r="B159" s="20" t="s">
        <v>3035</v>
      </c>
      <c r="C159" s="20" t="s">
        <v>2236</v>
      </c>
      <c r="D159" s="20" t="s">
        <v>2237</v>
      </c>
      <c r="E159" s="20"/>
      <c r="F159" s="20" t="s">
        <v>3350</v>
      </c>
      <c r="G159" s="20" t="s">
        <v>3351</v>
      </c>
      <c r="H159" s="20" t="s">
        <v>2236</v>
      </c>
      <c r="I159" s="20"/>
      <c r="J159" s="11" t="s">
        <v>2295</v>
      </c>
      <c r="K159" s="11" t="s">
        <v>2295</v>
      </c>
      <c r="L159" s="20" t="s">
        <v>2236</v>
      </c>
      <c r="M159" s="20" t="s">
        <v>2236</v>
      </c>
      <c r="N159" s="20" t="s">
        <v>2237</v>
      </c>
      <c r="O159" s="20"/>
      <c r="P159" s="20"/>
      <c r="Q159" s="20"/>
    </row>
    <row r="160" spans="1:17" ht="15" x14ac:dyDescent="0.2">
      <c r="A160" s="20" t="s">
        <v>2002</v>
      </c>
      <c r="B160" s="20" t="s">
        <v>3035</v>
      </c>
      <c r="C160" s="20" t="s">
        <v>2236</v>
      </c>
      <c r="D160" s="20" t="s">
        <v>2237</v>
      </c>
      <c r="E160" s="20"/>
      <c r="F160" s="20" t="s">
        <v>3352</v>
      </c>
      <c r="G160" s="20" t="s">
        <v>3353</v>
      </c>
      <c r="H160" s="20" t="s">
        <v>2236</v>
      </c>
      <c r="I160" s="20"/>
      <c r="J160" s="11" t="s">
        <v>2296</v>
      </c>
      <c r="K160" s="11" t="s">
        <v>2296</v>
      </c>
      <c r="L160" s="20" t="s">
        <v>2236</v>
      </c>
      <c r="M160" s="20" t="s">
        <v>2236</v>
      </c>
      <c r="N160" s="20" t="s">
        <v>2237</v>
      </c>
      <c r="O160" s="20"/>
      <c r="P160" s="20"/>
      <c r="Q160" s="20"/>
    </row>
    <row r="161" spans="1:17" ht="15" x14ac:dyDescent="0.2">
      <c r="A161" s="20" t="s">
        <v>2002</v>
      </c>
      <c r="B161" s="20" t="s">
        <v>3035</v>
      </c>
      <c r="C161" s="20" t="s">
        <v>2236</v>
      </c>
      <c r="D161" s="20" t="s">
        <v>2237</v>
      </c>
      <c r="E161" s="20"/>
      <c r="F161" s="20" t="s">
        <v>3354</v>
      </c>
      <c r="G161" s="20" t="s">
        <v>3355</v>
      </c>
      <c r="H161" s="20" t="s">
        <v>2236</v>
      </c>
      <c r="I161" s="20"/>
      <c r="J161" s="11" t="s">
        <v>2297</v>
      </c>
      <c r="K161" s="11" t="s">
        <v>2297</v>
      </c>
      <c r="L161" s="20" t="s">
        <v>2236</v>
      </c>
      <c r="M161" s="20" t="s">
        <v>2236</v>
      </c>
      <c r="N161" s="20" t="s">
        <v>2237</v>
      </c>
      <c r="O161" s="20"/>
      <c r="P161" s="20"/>
      <c r="Q161" s="20"/>
    </row>
    <row r="162" spans="1:17" ht="15" x14ac:dyDescent="0.2">
      <c r="A162" s="20" t="s">
        <v>2002</v>
      </c>
      <c r="B162" s="20" t="s">
        <v>3035</v>
      </c>
      <c r="C162" s="20" t="s">
        <v>2236</v>
      </c>
      <c r="D162" s="20" t="s">
        <v>2237</v>
      </c>
      <c r="E162" s="20"/>
      <c r="F162" s="20" t="s">
        <v>3356</v>
      </c>
      <c r="G162" s="20" t="s">
        <v>3357</v>
      </c>
      <c r="H162" s="20" t="s">
        <v>2236</v>
      </c>
      <c r="I162" s="20"/>
      <c r="J162" s="11" t="s">
        <v>2298</v>
      </c>
      <c r="K162" s="11" t="s">
        <v>2298</v>
      </c>
      <c r="L162" s="20" t="s">
        <v>2236</v>
      </c>
      <c r="M162" s="20" t="s">
        <v>2236</v>
      </c>
      <c r="N162" s="20" t="s">
        <v>2237</v>
      </c>
      <c r="O162" s="20"/>
      <c r="P162" s="20"/>
      <c r="Q162" s="20"/>
    </row>
    <row r="163" spans="1:17" ht="15" x14ac:dyDescent="0.2">
      <c r="A163" s="20" t="s">
        <v>2002</v>
      </c>
      <c r="B163" s="20" t="s">
        <v>3035</v>
      </c>
      <c r="C163" s="20" t="s">
        <v>2236</v>
      </c>
      <c r="D163" s="20" t="s">
        <v>2237</v>
      </c>
      <c r="E163" s="20"/>
      <c r="F163" s="20" t="s">
        <v>3358</v>
      </c>
      <c r="G163" s="20" t="s">
        <v>3359</v>
      </c>
      <c r="H163" s="20" t="s">
        <v>2236</v>
      </c>
      <c r="I163" s="20"/>
      <c r="J163" s="11" t="s">
        <v>2299</v>
      </c>
      <c r="K163" s="11" t="s">
        <v>2299</v>
      </c>
      <c r="L163" s="20" t="s">
        <v>2236</v>
      </c>
      <c r="M163" s="20" t="s">
        <v>2236</v>
      </c>
      <c r="N163" s="20" t="s">
        <v>2237</v>
      </c>
      <c r="O163" s="20"/>
      <c r="P163" s="20"/>
      <c r="Q163" s="20"/>
    </row>
    <row r="164" spans="1:17" ht="15" x14ac:dyDescent="0.2">
      <c r="A164" s="20" t="s">
        <v>2002</v>
      </c>
      <c r="B164" s="20" t="s">
        <v>3035</v>
      </c>
      <c r="C164" s="20" t="s">
        <v>2236</v>
      </c>
      <c r="D164" s="20" t="s">
        <v>2237</v>
      </c>
      <c r="E164" s="20"/>
      <c r="F164" s="20" t="s">
        <v>3360</v>
      </c>
      <c r="G164" s="20" t="s">
        <v>3361</v>
      </c>
      <c r="H164" s="20" t="s">
        <v>2236</v>
      </c>
      <c r="I164" s="20"/>
      <c r="J164" s="11" t="s">
        <v>2300</v>
      </c>
      <c r="K164" s="11" t="s">
        <v>2300</v>
      </c>
      <c r="L164" s="20" t="s">
        <v>2236</v>
      </c>
      <c r="M164" s="20" t="s">
        <v>2236</v>
      </c>
      <c r="N164" s="20" t="s">
        <v>2237</v>
      </c>
      <c r="O164" s="20"/>
      <c r="P164" s="20"/>
      <c r="Q164" s="20"/>
    </row>
    <row r="165" spans="1:17" ht="15" x14ac:dyDescent="0.2">
      <c r="A165" s="20" t="s">
        <v>2002</v>
      </c>
      <c r="B165" s="20" t="s">
        <v>3035</v>
      </c>
      <c r="C165" s="20" t="s">
        <v>2236</v>
      </c>
      <c r="D165" s="20" t="s">
        <v>2237</v>
      </c>
      <c r="E165" s="20"/>
      <c r="F165" s="20" t="s">
        <v>3362</v>
      </c>
      <c r="G165" s="20" t="s">
        <v>3363</v>
      </c>
      <c r="H165" s="20" t="s">
        <v>2236</v>
      </c>
      <c r="I165" s="20"/>
      <c r="J165" s="11" t="s">
        <v>2301</v>
      </c>
      <c r="K165" s="11" t="s">
        <v>2301</v>
      </c>
      <c r="L165" s="20" t="s">
        <v>2236</v>
      </c>
      <c r="M165" s="20" t="s">
        <v>2236</v>
      </c>
      <c r="N165" s="20" t="s">
        <v>2237</v>
      </c>
      <c r="O165" s="20"/>
      <c r="P165" s="20"/>
      <c r="Q165" s="20"/>
    </row>
    <row r="166" spans="1:17" ht="15" x14ac:dyDescent="0.2">
      <c r="A166" s="20" t="s">
        <v>2002</v>
      </c>
      <c r="B166" s="20" t="s">
        <v>3035</v>
      </c>
      <c r="C166" s="20" t="s">
        <v>2236</v>
      </c>
      <c r="D166" s="20" t="s">
        <v>2237</v>
      </c>
      <c r="E166" s="20"/>
      <c r="F166" s="20" t="s">
        <v>3364</v>
      </c>
      <c r="G166" s="20" t="s">
        <v>3365</v>
      </c>
      <c r="H166" s="20" t="s">
        <v>2236</v>
      </c>
      <c r="I166" s="20"/>
      <c r="J166" s="11" t="s">
        <v>2302</v>
      </c>
      <c r="K166" s="11" t="s">
        <v>2302</v>
      </c>
      <c r="L166" s="20" t="s">
        <v>2236</v>
      </c>
      <c r="M166" s="20" t="s">
        <v>2236</v>
      </c>
      <c r="N166" s="20" t="s">
        <v>2237</v>
      </c>
      <c r="O166" s="20"/>
      <c r="P166" s="20"/>
      <c r="Q166" s="20"/>
    </row>
    <row r="167" spans="1:17" ht="15" x14ac:dyDescent="0.2">
      <c r="A167" s="20" t="s">
        <v>2002</v>
      </c>
      <c r="B167" s="20" t="s">
        <v>3035</v>
      </c>
      <c r="C167" s="20" t="s">
        <v>2236</v>
      </c>
      <c r="D167" s="20" t="s">
        <v>2237</v>
      </c>
      <c r="E167" s="20"/>
      <c r="F167" s="20" t="s">
        <v>3366</v>
      </c>
      <c r="G167" s="20" t="s">
        <v>3367</v>
      </c>
      <c r="H167" s="20" t="s">
        <v>2236</v>
      </c>
      <c r="I167" s="20"/>
      <c r="J167" s="11" t="s">
        <v>2303</v>
      </c>
      <c r="K167" s="11" t="s">
        <v>2303</v>
      </c>
      <c r="L167" s="20" t="s">
        <v>2236</v>
      </c>
      <c r="M167" s="20" t="s">
        <v>2236</v>
      </c>
      <c r="N167" s="20" t="s">
        <v>2237</v>
      </c>
      <c r="O167" s="20"/>
      <c r="P167" s="20"/>
      <c r="Q167" s="20"/>
    </row>
    <row r="168" spans="1:17" ht="15" x14ac:dyDescent="0.2">
      <c r="A168" s="20" t="s">
        <v>2002</v>
      </c>
      <c r="B168" s="20" t="s">
        <v>3035</v>
      </c>
      <c r="C168" s="20" t="s">
        <v>2236</v>
      </c>
      <c r="D168" s="20" t="s">
        <v>2237</v>
      </c>
      <c r="E168" s="20"/>
      <c r="F168" s="20" t="s">
        <v>3368</v>
      </c>
      <c r="G168" s="20" t="s">
        <v>3369</v>
      </c>
      <c r="H168" s="20" t="s">
        <v>2236</v>
      </c>
      <c r="I168" s="20"/>
      <c r="J168" s="11" t="s">
        <v>2304</v>
      </c>
      <c r="K168" s="11" t="s">
        <v>2304</v>
      </c>
      <c r="L168" s="20" t="s">
        <v>2236</v>
      </c>
      <c r="M168" s="20" t="s">
        <v>2236</v>
      </c>
      <c r="N168" s="20" t="s">
        <v>2237</v>
      </c>
      <c r="O168" s="20"/>
      <c r="P168" s="20"/>
      <c r="Q168" s="20"/>
    </row>
    <row r="169" spans="1:17" ht="15" x14ac:dyDescent="0.2">
      <c r="A169" s="20" t="s">
        <v>2002</v>
      </c>
      <c r="B169" s="20" t="s">
        <v>3035</v>
      </c>
      <c r="C169" s="20" t="s">
        <v>2236</v>
      </c>
      <c r="D169" s="20" t="s">
        <v>2237</v>
      </c>
      <c r="E169" s="20"/>
      <c r="F169" s="20" t="s">
        <v>3370</v>
      </c>
      <c r="G169" s="20" t="s">
        <v>3371</v>
      </c>
      <c r="H169" s="20" t="s">
        <v>2236</v>
      </c>
      <c r="I169" s="20"/>
      <c r="J169" s="11" t="s">
        <v>2305</v>
      </c>
      <c r="K169" s="11" t="s">
        <v>2305</v>
      </c>
      <c r="L169" s="20" t="s">
        <v>2236</v>
      </c>
      <c r="M169" s="20" t="s">
        <v>2236</v>
      </c>
      <c r="N169" s="20" t="s">
        <v>2237</v>
      </c>
      <c r="O169" s="20"/>
      <c r="P169" s="20"/>
      <c r="Q169" s="20"/>
    </row>
    <row r="170" spans="1:17" ht="15" x14ac:dyDescent="0.2">
      <c r="A170" s="20" t="s">
        <v>2002</v>
      </c>
      <c r="B170" s="20" t="s">
        <v>3035</v>
      </c>
      <c r="C170" s="20" t="s">
        <v>2236</v>
      </c>
      <c r="D170" s="20" t="s">
        <v>2237</v>
      </c>
      <c r="E170" s="20"/>
      <c r="F170" s="20" t="s">
        <v>3372</v>
      </c>
      <c r="G170" s="20" t="s">
        <v>3373</v>
      </c>
      <c r="H170" s="20" t="s">
        <v>2236</v>
      </c>
      <c r="I170" s="20"/>
      <c r="J170" s="11" t="s">
        <v>2306</v>
      </c>
      <c r="K170" s="11" t="s">
        <v>2306</v>
      </c>
      <c r="L170" s="20" t="s">
        <v>2236</v>
      </c>
      <c r="M170" s="20" t="s">
        <v>2236</v>
      </c>
      <c r="N170" s="20" t="s">
        <v>2237</v>
      </c>
      <c r="O170" s="20"/>
      <c r="P170" s="20"/>
      <c r="Q170" s="20"/>
    </row>
    <row r="171" spans="1:17" ht="15" x14ac:dyDescent="0.2">
      <c r="A171" s="20" t="s">
        <v>2002</v>
      </c>
      <c r="B171" s="20" t="s">
        <v>3035</v>
      </c>
      <c r="C171" s="20" t="s">
        <v>2236</v>
      </c>
      <c r="D171" s="20" t="s">
        <v>2237</v>
      </c>
      <c r="E171" s="20"/>
      <c r="F171" s="20" t="s">
        <v>3374</v>
      </c>
      <c r="G171" s="20" t="s">
        <v>3375</v>
      </c>
      <c r="H171" s="20" t="s">
        <v>2236</v>
      </c>
      <c r="I171" s="20"/>
      <c r="J171" s="11" t="s">
        <v>2307</v>
      </c>
      <c r="K171" s="11" t="s">
        <v>2307</v>
      </c>
      <c r="L171" s="20" t="s">
        <v>2236</v>
      </c>
      <c r="M171" s="20" t="s">
        <v>2236</v>
      </c>
      <c r="N171" s="20" t="s">
        <v>2237</v>
      </c>
      <c r="O171" s="20"/>
      <c r="P171" s="20"/>
      <c r="Q171" s="20"/>
    </row>
    <row r="172" spans="1:17" ht="15" x14ac:dyDescent="0.2">
      <c r="A172" s="20" t="s">
        <v>2002</v>
      </c>
      <c r="B172" s="20" t="s">
        <v>3035</v>
      </c>
      <c r="C172" s="20" t="s">
        <v>2236</v>
      </c>
      <c r="D172" s="20" t="s">
        <v>2237</v>
      </c>
      <c r="E172" s="20"/>
      <c r="F172" s="20" t="s">
        <v>3376</v>
      </c>
      <c r="G172" s="20" t="s">
        <v>3377</v>
      </c>
      <c r="H172" s="20" t="s">
        <v>2236</v>
      </c>
      <c r="I172" s="20"/>
      <c r="J172" s="11" t="s">
        <v>2308</v>
      </c>
      <c r="K172" s="11" t="s">
        <v>2308</v>
      </c>
      <c r="L172" s="20" t="s">
        <v>2236</v>
      </c>
      <c r="M172" s="20" t="s">
        <v>2236</v>
      </c>
      <c r="N172" s="20" t="s">
        <v>2237</v>
      </c>
      <c r="O172" s="20"/>
      <c r="P172" s="20"/>
      <c r="Q172" s="20"/>
    </row>
    <row r="173" spans="1:17" ht="15" x14ac:dyDescent="0.2">
      <c r="A173" s="20" t="s">
        <v>2002</v>
      </c>
      <c r="B173" s="20" t="s">
        <v>3035</v>
      </c>
      <c r="C173" s="20" t="s">
        <v>2236</v>
      </c>
      <c r="D173" s="20" t="s">
        <v>2237</v>
      </c>
      <c r="E173" s="20"/>
      <c r="F173" s="20" t="s">
        <v>3378</v>
      </c>
      <c r="G173" s="20" t="s">
        <v>3379</v>
      </c>
      <c r="H173" s="20" t="s">
        <v>2236</v>
      </c>
      <c r="I173" s="20"/>
      <c r="J173" s="11" t="s">
        <v>2309</v>
      </c>
      <c r="K173" s="11" t="s">
        <v>2309</v>
      </c>
      <c r="L173" s="20" t="s">
        <v>2236</v>
      </c>
      <c r="M173" s="20" t="s">
        <v>2236</v>
      </c>
      <c r="N173" s="20" t="s">
        <v>2237</v>
      </c>
      <c r="O173" s="20"/>
      <c r="P173" s="20"/>
      <c r="Q173" s="20"/>
    </row>
    <row r="174" spans="1:17" ht="15" x14ac:dyDescent="0.2">
      <c r="A174" s="20" t="s">
        <v>2002</v>
      </c>
      <c r="B174" s="20" t="s">
        <v>3035</v>
      </c>
      <c r="C174" s="20" t="s">
        <v>2236</v>
      </c>
      <c r="D174" s="20" t="s">
        <v>2237</v>
      </c>
      <c r="E174" s="20"/>
      <c r="F174" s="20" t="s">
        <v>3380</v>
      </c>
      <c r="G174" s="20" t="s">
        <v>3381</v>
      </c>
      <c r="H174" s="20" t="s">
        <v>2236</v>
      </c>
      <c r="I174" s="20"/>
      <c r="J174" s="11" t="s">
        <v>2310</v>
      </c>
      <c r="K174" s="11" t="s">
        <v>2310</v>
      </c>
      <c r="L174" s="20" t="s">
        <v>2236</v>
      </c>
      <c r="M174" s="20" t="s">
        <v>2236</v>
      </c>
      <c r="N174" s="20" t="s">
        <v>2237</v>
      </c>
      <c r="O174" s="20"/>
      <c r="P174" s="20"/>
      <c r="Q174" s="20"/>
    </row>
    <row r="175" spans="1:17" ht="15" x14ac:dyDescent="0.2">
      <c r="A175" s="20" t="s">
        <v>2002</v>
      </c>
      <c r="B175" s="20" t="s">
        <v>3035</v>
      </c>
      <c r="C175" s="20" t="s">
        <v>2236</v>
      </c>
      <c r="D175" s="20" t="s">
        <v>2237</v>
      </c>
      <c r="E175" s="20"/>
      <c r="F175" s="20" t="s">
        <v>3382</v>
      </c>
      <c r="G175" s="20" t="s">
        <v>3383</v>
      </c>
      <c r="H175" s="20" t="s">
        <v>2236</v>
      </c>
      <c r="I175" s="20"/>
      <c r="J175" s="11" t="s">
        <v>2311</v>
      </c>
      <c r="K175" s="11" t="s">
        <v>2311</v>
      </c>
      <c r="L175" s="20" t="s">
        <v>2236</v>
      </c>
      <c r="M175" s="20" t="s">
        <v>2236</v>
      </c>
      <c r="N175" s="20" t="s">
        <v>2237</v>
      </c>
      <c r="O175" s="20"/>
      <c r="P175" s="20"/>
      <c r="Q175" s="20"/>
    </row>
    <row r="176" spans="1:17" ht="15" x14ac:dyDescent="0.2">
      <c r="A176" s="20" t="s">
        <v>2002</v>
      </c>
      <c r="B176" s="20" t="s">
        <v>3035</v>
      </c>
      <c r="C176" s="20" t="s">
        <v>2236</v>
      </c>
      <c r="D176" s="20" t="s">
        <v>2237</v>
      </c>
      <c r="E176" s="20"/>
      <c r="F176" s="20" t="s">
        <v>3384</v>
      </c>
      <c r="G176" s="20" t="s">
        <v>3385</v>
      </c>
      <c r="H176" s="20" t="s">
        <v>2236</v>
      </c>
      <c r="I176" s="20"/>
      <c r="J176" s="11" t="s">
        <v>311</v>
      </c>
      <c r="K176" s="11" t="s">
        <v>311</v>
      </c>
      <c r="L176" s="20" t="s">
        <v>2236</v>
      </c>
      <c r="M176" s="20" t="s">
        <v>2236</v>
      </c>
      <c r="N176" s="20" t="s">
        <v>2237</v>
      </c>
      <c r="O176" s="20"/>
      <c r="P176" s="20"/>
      <c r="Q176" s="20"/>
    </row>
    <row r="177" spans="1:17" ht="15" x14ac:dyDescent="0.2">
      <c r="A177" s="20" t="s">
        <v>2002</v>
      </c>
      <c r="B177" s="20" t="s">
        <v>3035</v>
      </c>
      <c r="C177" s="20" t="s">
        <v>2236</v>
      </c>
      <c r="D177" s="20" t="s">
        <v>2237</v>
      </c>
      <c r="E177" s="20"/>
      <c r="F177" s="20" t="s">
        <v>3386</v>
      </c>
      <c r="G177" s="20" t="s">
        <v>3387</v>
      </c>
      <c r="H177" s="20" t="s">
        <v>2236</v>
      </c>
      <c r="I177" s="20"/>
      <c r="J177" s="11" t="s">
        <v>2312</v>
      </c>
      <c r="K177" s="11" t="s">
        <v>2312</v>
      </c>
      <c r="L177" s="20" t="s">
        <v>2236</v>
      </c>
      <c r="M177" s="20" t="s">
        <v>2236</v>
      </c>
      <c r="N177" s="20" t="s">
        <v>2237</v>
      </c>
      <c r="O177" s="20"/>
      <c r="P177" s="20"/>
      <c r="Q177" s="20"/>
    </row>
    <row r="178" spans="1:17" ht="15" x14ac:dyDescent="0.2">
      <c r="A178" s="20" t="s">
        <v>2002</v>
      </c>
      <c r="B178" s="20" t="s">
        <v>3035</v>
      </c>
      <c r="C178" s="20" t="s">
        <v>2236</v>
      </c>
      <c r="D178" s="20" t="s">
        <v>2237</v>
      </c>
      <c r="E178" s="20"/>
      <c r="F178" s="20" t="s">
        <v>3388</v>
      </c>
      <c r="G178" s="20" t="s">
        <v>3389</v>
      </c>
      <c r="H178" s="20" t="s">
        <v>2236</v>
      </c>
      <c r="I178" s="20"/>
      <c r="J178" s="11" t="s">
        <v>2313</v>
      </c>
      <c r="K178" s="11" t="s">
        <v>2313</v>
      </c>
      <c r="L178" s="20" t="s">
        <v>2236</v>
      </c>
      <c r="M178" s="20" t="s">
        <v>2236</v>
      </c>
      <c r="N178" s="20" t="s">
        <v>2237</v>
      </c>
      <c r="O178" s="20"/>
      <c r="P178" s="20"/>
      <c r="Q178" s="20"/>
    </row>
    <row r="179" spans="1:17" ht="15" x14ac:dyDescent="0.2">
      <c r="A179" s="20" t="s">
        <v>2002</v>
      </c>
      <c r="B179" s="20" t="s">
        <v>3035</v>
      </c>
      <c r="C179" s="20" t="s">
        <v>2236</v>
      </c>
      <c r="D179" s="20" t="s">
        <v>2237</v>
      </c>
      <c r="E179" s="20"/>
      <c r="F179" s="20" t="s">
        <v>3390</v>
      </c>
      <c r="G179" s="20" t="s">
        <v>3391</v>
      </c>
      <c r="H179" s="20" t="s">
        <v>2236</v>
      </c>
      <c r="I179" s="20"/>
      <c r="J179" s="11" t="s">
        <v>2314</v>
      </c>
      <c r="K179" s="11" t="s">
        <v>2314</v>
      </c>
      <c r="L179" s="20" t="s">
        <v>2236</v>
      </c>
      <c r="M179" s="20" t="s">
        <v>2236</v>
      </c>
      <c r="N179" s="20" t="s">
        <v>2237</v>
      </c>
      <c r="O179" s="20"/>
      <c r="P179" s="20"/>
      <c r="Q179" s="20"/>
    </row>
    <row r="180" spans="1:17" ht="15" x14ac:dyDescent="0.2">
      <c r="A180" s="20" t="s">
        <v>2002</v>
      </c>
      <c r="B180" s="20" t="s">
        <v>3035</v>
      </c>
      <c r="C180" s="20" t="s">
        <v>2236</v>
      </c>
      <c r="D180" s="20" t="s">
        <v>2237</v>
      </c>
      <c r="E180" s="20"/>
      <c r="F180" s="20" t="s">
        <v>3392</v>
      </c>
      <c r="G180" s="20" t="s">
        <v>3393</v>
      </c>
      <c r="H180" s="20" t="s">
        <v>2236</v>
      </c>
      <c r="I180" s="20"/>
      <c r="J180" s="11" t="s">
        <v>2315</v>
      </c>
      <c r="K180" s="11" t="s">
        <v>2315</v>
      </c>
      <c r="L180" s="20" t="s">
        <v>2236</v>
      </c>
      <c r="M180" s="20" t="s">
        <v>2236</v>
      </c>
      <c r="N180" s="20" t="s">
        <v>2237</v>
      </c>
      <c r="O180" s="20"/>
      <c r="P180" s="20"/>
      <c r="Q180" s="20"/>
    </row>
    <row r="181" spans="1:17" ht="15" x14ac:dyDescent="0.2">
      <c r="A181" s="20" t="s">
        <v>2002</v>
      </c>
      <c r="B181" s="20" t="s">
        <v>3035</v>
      </c>
      <c r="C181" s="20" t="s">
        <v>2236</v>
      </c>
      <c r="D181" s="20" t="s">
        <v>2237</v>
      </c>
      <c r="E181" s="20"/>
      <c r="F181" s="20" t="s">
        <v>3394</v>
      </c>
      <c r="G181" s="20" t="s">
        <v>3395</v>
      </c>
      <c r="H181" s="20" t="s">
        <v>2236</v>
      </c>
      <c r="I181" s="20"/>
      <c r="J181" s="11" t="s">
        <v>2316</v>
      </c>
      <c r="K181" s="11" t="s">
        <v>2316</v>
      </c>
      <c r="L181" s="20" t="s">
        <v>2236</v>
      </c>
      <c r="M181" s="20" t="s">
        <v>2236</v>
      </c>
      <c r="N181" s="20" t="s">
        <v>2237</v>
      </c>
      <c r="O181" s="20"/>
      <c r="P181" s="20"/>
      <c r="Q181" s="20"/>
    </row>
    <row r="182" spans="1:17" ht="15" x14ac:dyDescent="0.2">
      <c r="A182" s="20" t="s">
        <v>2002</v>
      </c>
      <c r="B182" s="20" t="s">
        <v>3035</v>
      </c>
      <c r="C182" s="20" t="s">
        <v>2236</v>
      </c>
      <c r="D182" s="20" t="s">
        <v>2237</v>
      </c>
      <c r="E182" s="20"/>
      <c r="F182" s="20" t="s">
        <v>3396</v>
      </c>
      <c r="G182" s="20" t="s">
        <v>3397</v>
      </c>
      <c r="H182" s="20" t="s">
        <v>2236</v>
      </c>
      <c r="I182" s="20"/>
      <c r="J182" s="11" t="s">
        <v>2317</v>
      </c>
      <c r="K182" s="11" t="s">
        <v>2317</v>
      </c>
      <c r="L182" s="20" t="s">
        <v>2236</v>
      </c>
      <c r="M182" s="20" t="s">
        <v>2236</v>
      </c>
      <c r="N182" s="20" t="s">
        <v>2237</v>
      </c>
      <c r="O182" s="20"/>
      <c r="P182" s="20"/>
      <c r="Q18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91"/>
  <sheetViews>
    <sheetView workbookViewId="0"/>
  </sheetViews>
  <sheetFormatPr baseColWidth="10" defaultColWidth="12.6640625" defaultRowHeight="15.75" customHeight="1" x14ac:dyDescent="0.15"/>
  <cols>
    <col min="6" max="7" width="39.1640625" customWidth="1"/>
  </cols>
  <sheetData>
    <row r="1" spans="1:7" ht="15.75" customHeight="1" x14ac:dyDescent="0.15">
      <c r="A1" s="2" t="s">
        <v>83</v>
      </c>
      <c r="B1" s="2" t="s">
        <v>2318</v>
      </c>
      <c r="C1" s="2" t="s">
        <v>84</v>
      </c>
      <c r="D1" s="2" t="s">
        <v>85</v>
      </c>
      <c r="E1" s="2" t="s">
        <v>87</v>
      </c>
      <c r="F1" s="2" t="s">
        <v>2319</v>
      </c>
      <c r="G1" s="2" t="s">
        <v>2320</v>
      </c>
    </row>
    <row r="2" spans="1:7" ht="15.75" customHeight="1" x14ac:dyDescent="0.15">
      <c r="A2" s="2" t="s">
        <v>90</v>
      </c>
      <c r="B2" s="2"/>
      <c r="C2" s="2" t="s">
        <v>91</v>
      </c>
      <c r="D2" s="2" t="s">
        <v>92</v>
      </c>
      <c r="E2" s="2" t="s">
        <v>52</v>
      </c>
      <c r="F2" s="2" t="s">
        <v>2321</v>
      </c>
      <c r="G2" s="2" t="s">
        <v>93</v>
      </c>
    </row>
    <row r="3" spans="1:7" ht="15.75" customHeight="1" x14ac:dyDescent="0.15">
      <c r="A3" s="2" t="s">
        <v>94</v>
      </c>
      <c r="B3" s="2"/>
      <c r="C3" s="2" t="s">
        <v>95</v>
      </c>
      <c r="D3" s="2" t="s">
        <v>92</v>
      </c>
      <c r="E3" s="2" t="s">
        <v>52</v>
      </c>
      <c r="F3" s="2" t="s">
        <v>2321</v>
      </c>
      <c r="G3" s="2" t="s">
        <v>93</v>
      </c>
    </row>
    <row r="4" spans="1:7" ht="15.75" customHeight="1" x14ac:dyDescent="0.15">
      <c r="A4" s="2" t="s">
        <v>96</v>
      </c>
      <c r="B4" s="2"/>
      <c r="C4" s="2" t="s">
        <v>97</v>
      </c>
      <c r="D4" s="2" t="s">
        <v>98</v>
      </c>
      <c r="E4" s="2" t="s">
        <v>52</v>
      </c>
      <c r="F4" s="2" t="s">
        <v>2321</v>
      </c>
      <c r="G4" s="2" t="s">
        <v>93</v>
      </c>
    </row>
    <row r="5" spans="1:7" ht="15.75" customHeight="1" x14ac:dyDescent="0.15">
      <c r="A5" s="2" t="s">
        <v>99</v>
      </c>
      <c r="B5" s="2"/>
      <c r="C5" s="2" t="s">
        <v>100</v>
      </c>
      <c r="D5" s="2" t="s">
        <v>101</v>
      </c>
      <c r="E5" s="2" t="s">
        <v>52</v>
      </c>
      <c r="F5" s="2" t="s">
        <v>2321</v>
      </c>
      <c r="G5" s="2" t="s">
        <v>93</v>
      </c>
    </row>
    <row r="6" spans="1:7" ht="15.75" customHeight="1" x14ac:dyDescent="0.15">
      <c r="A6" s="2" t="s">
        <v>102</v>
      </c>
      <c r="B6" s="2"/>
      <c r="C6" s="2" t="s">
        <v>103</v>
      </c>
      <c r="D6" s="2" t="s">
        <v>101</v>
      </c>
      <c r="E6" s="2" t="s">
        <v>52</v>
      </c>
      <c r="F6" s="2" t="s">
        <v>2321</v>
      </c>
      <c r="G6" s="2" t="s">
        <v>93</v>
      </c>
    </row>
    <row r="7" spans="1:7" ht="15.75" customHeight="1" x14ac:dyDescent="0.15">
      <c r="A7" s="2" t="s">
        <v>104</v>
      </c>
      <c r="B7" s="2"/>
      <c r="C7" s="2" t="s">
        <v>105</v>
      </c>
      <c r="D7" s="2" t="s">
        <v>106</v>
      </c>
      <c r="E7" s="2" t="s">
        <v>52</v>
      </c>
      <c r="F7" s="2" t="s">
        <v>2321</v>
      </c>
      <c r="G7" s="2" t="s">
        <v>93</v>
      </c>
    </row>
    <row r="8" spans="1:7" ht="15.75" customHeight="1" x14ac:dyDescent="0.15">
      <c r="A8" s="2" t="s">
        <v>107</v>
      </c>
      <c r="B8" s="2"/>
      <c r="C8" s="2" t="s">
        <v>108</v>
      </c>
      <c r="D8" s="2" t="s">
        <v>106</v>
      </c>
      <c r="E8" s="2" t="s">
        <v>52</v>
      </c>
      <c r="F8" s="2" t="s">
        <v>2321</v>
      </c>
      <c r="G8" s="2" t="s">
        <v>93</v>
      </c>
    </row>
    <row r="9" spans="1:7" ht="15.75" customHeight="1" x14ac:dyDescent="0.15">
      <c r="A9" s="2" t="s">
        <v>109</v>
      </c>
      <c r="B9" s="2"/>
      <c r="C9" s="2" t="s">
        <v>110</v>
      </c>
      <c r="D9" s="2" t="s">
        <v>111</v>
      </c>
      <c r="E9" s="2" t="s">
        <v>52</v>
      </c>
      <c r="F9" s="2" t="s">
        <v>2321</v>
      </c>
      <c r="G9" s="2" t="s">
        <v>93</v>
      </c>
    </row>
    <row r="10" spans="1:7" ht="15.75" customHeight="1" x14ac:dyDescent="0.15">
      <c r="A10" s="2" t="s">
        <v>112</v>
      </c>
      <c r="B10" s="2"/>
      <c r="C10" s="2" t="s">
        <v>113</v>
      </c>
      <c r="D10" s="2" t="s">
        <v>114</v>
      </c>
      <c r="E10" s="2" t="s">
        <v>52</v>
      </c>
      <c r="F10" s="2" t="s">
        <v>2321</v>
      </c>
      <c r="G10" s="2" t="s">
        <v>93</v>
      </c>
    </row>
    <row r="11" spans="1:7" ht="15.75" customHeight="1" x14ac:dyDescent="0.15">
      <c r="A11" s="2" t="s">
        <v>115</v>
      </c>
      <c r="B11" s="2"/>
      <c r="C11" s="2" t="s">
        <v>116</v>
      </c>
      <c r="D11" s="2" t="s">
        <v>114</v>
      </c>
      <c r="E11" s="2" t="s">
        <v>52</v>
      </c>
      <c r="F11" s="2" t="s">
        <v>2321</v>
      </c>
      <c r="G11" s="2" t="s">
        <v>93</v>
      </c>
    </row>
    <row r="12" spans="1:7" ht="15.75" customHeight="1" x14ac:dyDescent="0.15">
      <c r="A12" s="2" t="s">
        <v>117</v>
      </c>
      <c r="B12" s="2"/>
      <c r="C12" s="2" t="s">
        <v>118</v>
      </c>
      <c r="D12" s="2" t="s">
        <v>101</v>
      </c>
      <c r="E12" s="2" t="s">
        <v>52</v>
      </c>
      <c r="F12" s="2" t="s">
        <v>2321</v>
      </c>
      <c r="G12" s="2" t="s">
        <v>119</v>
      </c>
    </row>
    <row r="13" spans="1:7" ht="15.75" customHeight="1" x14ac:dyDescent="0.15">
      <c r="A13" s="2" t="s">
        <v>120</v>
      </c>
      <c r="B13" s="2"/>
      <c r="C13" s="2" t="s">
        <v>121</v>
      </c>
      <c r="D13" s="2" t="s">
        <v>101</v>
      </c>
      <c r="E13" s="2" t="s">
        <v>52</v>
      </c>
      <c r="F13" s="2" t="s">
        <v>2321</v>
      </c>
      <c r="G13" s="2" t="s">
        <v>119</v>
      </c>
    </row>
    <row r="14" spans="1:7" ht="15.75" customHeight="1" x14ac:dyDescent="0.15">
      <c r="A14" s="2" t="s">
        <v>122</v>
      </c>
      <c r="B14" s="2"/>
      <c r="C14" s="2" t="s">
        <v>123</v>
      </c>
      <c r="D14" s="2" t="s">
        <v>101</v>
      </c>
      <c r="E14" s="2" t="s">
        <v>52</v>
      </c>
      <c r="F14" s="2" t="s">
        <v>2321</v>
      </c>
      <c r="G14" s="2" t="s">
        <v>119</v>
      </c>
    </row>
    <row r="15" spans="1:7" ht="15.75" customHeight="1" x14ac:dyDescent="0.15">
      <c r="A15" s="2" t="s">
        <v>124</v>
      </c>
      <c r="B15" s="2"/>
      <c r="C15" s="2" t="s">
        <v>125</v>
      </c>
      <c r="D15" s="2" t="s">
        <v>92</v>
      </c>
      <c r="E15" s="2" t="s">
        <v>52</v>
      </c>
      <c r="F15" s="2" t="s">
        <v>2321</v>
      </c>
      <c r="G15" s="2" t="s">
        <v>119</v>
      </c>
    </row>
    <row r="16" spans="1:7" ht="15.75" customHeight="1" x14ac:dyDescent="0.15">
      <c r="A16" s="2" t="s">
        <v>126</v>
      </c>
      <c r="B16" s="2"/>
      <c r="C16" s="2" t="s">
        <v>127</v>
      </c>
      <c r="D16" s="2" t="s">
        <v>92</v>
      </c>
      <c r="E16" s="2" t="s">
        <v>52</v>
      </c>
      <c r="F16" s="2" t="s">
        <v>2321</v>
      </c>
      <c r="G16" s="2" t="s">
        <v>119</v>
      </c>
    </row>
    <row r="17" spans="1:7" ht="15.75" customHeight="1" x14ac:dyDescent="0.15">
      <c r="A17" s="2" t="s">
        <v>128</v>
      </c>
      <c r="B17" s="2"/>
      <c r="C17" s="2" t="s">
        <v>129</v>
      </c>
      <c r="D17" s="2" t="s">
        <v>92</v>
      </c>
      <c r="E17" s="2" t="s">
        <v>52</v>
      </c>
      <c r="F17" s="2" t="s">
        <v>2321</v>
      </c>
      <c r="G17" s="2" t="s">
        <v>119</v>
      </c>
    </row>
    <row r="18" spans="1:7" ht="15.75" customHeight="1" x14ac:dyDescent="0.15">
      <c r="A18" s="2" t="s">
        <v>130</v>
      </c>
      <c r="B18" s="2"/>
      <c r="C18" s="2" t="s">
        <v>131</v>
      </c>
      <c r="D18" s="2" t="s">
        <v>106</v>
      </c>
      <c r="E18" s="2" t="s">
        <v>52</v>
      </c>
      <c r="F18" s="2" t="s">
        <v>2321</v>
      </c>
      <c r="G18" s="2" t="s">
        <v>119</v>
      </c>
    </row>
    <row r="19" spans="1:7" ht="15.75" customHeight="1" x14ac:dyDescent="0.15">
      <c r="A19" s="2" t="s">
        <v>132</v>
      </c>
      <c r="B19" s="2"/>
      <c r="C19" s="2" t="s">
        <v>133</v>
      </c>
      <c r="D19" s="2" t="s">
        <v>106</v>
      </c>
      <c r="E19" s="2" t="s">
        <v>52</v>
      </c>
      <c r="F19" s="2" t="s">
        <v>2321</v>
      </c>
      <c r="G19" s="2" t="s">
        <v>119</v>
      </c>
    </row>
    <row r="20" spans="1:7" ht="15.75" customHeight="1" x14ac:dyDescent="0.15">
      <c r="A20" s="2" t="s">
        <v>134</v>
      </c>
      <c r="B20" s="2"/>
      <c r="C20" s="2" t="s">
        <v>135</v>
      </c>
      <c r="D20" s="2" t="s">
        <v>106</v>
      </c>
      <c r="E20" s="2" t="s">
        <v>52</v>
      </c>
      <c r="F20" s="2" t="s">
        <v>2321</v>
      </c>
      <c r="G20" s="2" t="s">
        <v>119</v>
      </c>
    </row>
    <row r="21" spans="1:7" ht="15.75" customHeight="1" x14ac:dyDescent="0.15">
      <c r="A21" s="2" t="s">
        <v>136</v>
      </c>
      <c r="B21" s="2"/>
      <c r="C21" s="2" t="s">
        <v>137</v>
      </c>
      <c r="D21" s="2" t="s">
        <v>98</v>
      </c>
      <c r="E21" s="2" t="s">
        <v>52</v>
      </c>
      <c r="F21" s="2" t="s">
        <v>2321</v>
      </c>
      <c r="G21" s="2" t="s">
        <v>119</v>
      </c>
    </row>
    <row r="22" spans="1:7" ht="15.75" customHeight="1" x14ac:dyDescent="0.15">
      <c r="A22" s="2" t="s">
        <v>138</v>
      </c>
      <c r="B22" s="2"/>
      <c r="C22" s="2" t="s">
        <v>139</v>
      </c>
      <c r="D22" s="2" t="s">
        <v>140</v>
      </c>
      <c r="E22" s="2" t="s">
        <v>52</v>
      </c>
      <c r="F22" s="2" t="s">
        <v>2321</v>
      </c>
      <c r="G22" s="2" t="s">
        <v>141</v>
      </c>
    </row>
    <row r="23" spans="1:7" ht="15.75" customHeight="1" x14ac:dyDescent="0.15">
      <c r="A23" s="2" t="s">
        <v>142</v>
      </c>
      <c r="B23" s="2"/>
      <c r="C23" s="2" t="s">
        <v>143</v>
      </c>
      <c r="D23" s="2" t="s">
        <v>140</v>
      </c>
      <c r="E23" s="2" t="s">
        <v>52</v>
      </c>
      <c r="F23" s="2" t="s">
        <v>2321</v>
      </c>
      <c r="G23" s="2" t="s">
        <v>141</v>
      </c>
    </row>
    <row r="24" spans="1:7" ht="15.75" customHeight="1" x14ac:dyDescent="0.15">
      <c r="A24" s="2" t="s">
        <v>144</v>
      </c>
      <c r="B24" s="2"/>
      <c r="C24" s="2" t="s">
        <v>145</v>
      </c>
      <c r="D24" s="2" t="s">
        <v>140</v>
      </c>
      <c r="E24" s="2" t="s">
        <v>52</v>
      </c>
      <c r="F24" s="2" t="s">
        <v>2321</v>
      </c>
      <c r="G24" s="2" t="s">
        <v>141</v>
      </c>
    </row>
    <row r="25" spans="1:7" ht="15.75" customHeight="1" x14ac:dyDescent="0.15">
      <c r="A25" s="2" t="s">
        <v>146</v>
      </c>
      <c r="C25" s="2" t="s">
        <v>147</v>
      </c>
      <c r="D25" s="2" t="s">
        <v>140</v>
      </c>
      <c r="E25" s="2" t="s">
        <v>52</v>
      </c>
      <c r="F25" s="2" t="s">
        <v>2321</v>
      </c>
      <c r="G25" s="2" t="s">
        <v>141</v>
      </c>
    </row>
    <row r="26" spans="1:7" ht="15.75" customHeight="1" x14ac:dyDescent="0.15">
      <c r="A26" s="2" t="s">
        <v>148</v>
      </c>
      <c r="B26" s="2"/>
      <c r="C26" s="2" t="s">
        <v>149</v>
      </c>
      <c r="D26" s="2" t="s">
        <v>150</v>
      </c>
      <c r="E26" s="2" t="s">
        <v>52</v>
      </c>
      <c r="F26" s="2" t="s">
        <v>2321</v>
      </c>
      <c r="G26" s="2" t="s">
        <v>141</v>
      </c>
    </row>
    <row r="27" spans="1:7" ht="15.75" customHeight="1" x14ac:dyDescent="0.15">
      <c r="A27" s="2" t="s">
        <v>2322</v>
      </c>
      <c r="B27" s="2" t="s">
        <v>2323</v>
      </c>
      <c r="C27" s="2" t="s">
        <v>1782</v>
      </c>
      <c r="D27" s="2" t="s">
        <v>150</v>
      </c>
      <c r="E27" s="2" t="s">
        <v>52</v>
      </c>
      <c r="F27" s="2" t="s">
        <v>2321</v>
      </c>
      <c r="G27" s="2" t="s">
        <v>141</v>
      </c>
    </row>
    <row r="28" spans="1:7" ht="15.75" customHeight="1" x14ac:dyDescent="0.15">
      <c r="A28" s="2" t="s">
        <v>153</v>
      </c>
      <c r="B28" s="2"/>
      <c r="C28" s="2" t="s">
        <v>154</v>
      </c>
      <c r="D28" s="2" t="s">
        <v>155</v>
      </c>
      <c r="E28" s="2" t="s">
        <v>52</v>
      </c>
      <c r="F28" s="2" t="s">
        <v>2321</v>
      </c>
      <c r="G28" s="2" t="s">
        <v>141</v>
      </c>
    </row>
    <row r="29" spans="1:7" ht="15.75" customHeight="1" x14ac:dyDescent="0.15">
      <c r="A29" s="2" t="s">
        <v>156</v>
      </c>
      <c r="B29" s="2"/>
      <c r="C29" s="2" t="s">
        <v>157</v>
      </c>
      <c r="D29" s="2" t="s">
        <v>155</v>
      </c>
      <c r="E29" s="2" t="s">
        <v>52</v>
      </c>
      <c r="F29" s="2" t="s">
        <v>2321</v>
      </c>
      <c r="G29" s="2" t="s">
        <v>141</v>
      </c>
    </row>
    <row r="30" spans="1:7" ht="15.75" customHeight="1" x14ac:dyDescent="0.15">
      <c r="A30" s="2" t="s">
        <v>158</v>
      </c>
      <c r="B30" s="2"/>
      <c r="C30" s="2" t="s">
        <v>159</v>
      </c>
      <c r="D30" s="2" t="s">
        <v>155</v>
      </c>
      <c r="E30" s="2" t="s">
        <v>52</v>
      </c>
      <c r="F30" s="2" t="s">
        <v>2321</v>
      </c>
      <c r="G30" s="2" t="s">
        <v>141</v>
      </c>
    </row>
    <row r="31" spans="1:7" ht="15.75" customHeight="1" x14ac:dyDescent="0.15">
      <c r="A31" s="2" t="s">
        <v>160</v>
      </c>
      <c r="B31" s="2"/>
      <c r="C31" s="2" t="s">
        <v>161</v>
      </c>
      <c r="D31" s="2" t="s">
        <v>140</v>
      </c>
      <c r="E31" s="2" t="s">
        <v>52</v>
      </c>
      <c r="F31" s="2" t="s">
        <v>2321</v>
      </c>
      <c r="G31" s="2" t="s">
        <v>141</v>
      </c>
    </row>
    <row r="32" spans="1:7" ht="15.75" customHeight="1" x14ac:dyDescent="0.15">
      <c r="A32" s="2" t="s">
        <v>221</v>
      </c>
      <c r="B32" s="2"/>
      <c r="C32" s="2" t="s">
        <v>222</v>
      </c>
      <c r="D32" s="2" t="s">
        <v>223</v>
      </c>
      <c r="E32" s="2" t="s">
        <v>76</v>
      </c>
      <c r="F32" s="2" t="s">
        <v>2321</v>
      </c>
      <c r="G32" s="2" t="s">
        <v>224</v>
      </c>
    </row>
    <row r="33" spans="1:7" ht="15.75" customHeight="1" x14ac:dyDescent="0.15">
      <c r="A33" s="2" t="s">
        <v>225</v>
      </c>
      <c r="B33" s="2"/>
      <c r="C33" s="2" t="s">
        <v>226</v>
      </c>
      <c r="D33" s="2" t="s">
        <v>223</v>
      </c>
      <c r="E33" s="2" t="s">
        <v>76</v>
      </c>
      <c r="F33" s="2" t="s">
        <v>2321</v>
      </c>
      <c r="G33" s="2" t="s">
        <v>224</v>
      </c>
    </row>
    <row r="34" spans="1:7" ht="15.75" customHeight="1" x14ac:dyDescent="0.15">
      <c r="A34" s="2" t="s">
        <v>227</v>
      </c>
      <c r="B34" s="2"/>
      <c r="C34" s="2" t="s">
        <v>228</v>
      </c>
      <c r="D34" s="2" t="s">
        <v>229</v>
      </c>
      <c r="E34" s="2" t="s">
        <v>76</v>
      </c>
      <c r="F34" s="2" t="s">
        <v>2321</v>
      </c>
      <c r="G34" s="2" t="s">
        <v>224</v>
      </c>
    </row>
    <row r="35" spans="1:7" ht="15.75" customHeight="1" x14ac:dyDescent="0.15">
      <c r="A35" s="2" t="s">
        <v>230</v>
      </c>
      <c r="B35" s="2"/>
      <c r="C35" s="2" t="s">
        <v>231</v>
      </c>
      <c r="D35" s="2" t="s">
        <v>229</v>
      </c>
      <c r="E35" s="2" t="s">
        <v>76</v>
      </c>
      <c r="F35" s="2" t="s">
        <v>2321</v>
      </c>
      <c r="G35" s="2" t="s">
        <v>224</v>
      </c>
    </row>
    <row r="36" spans="1:7" ht="15.75" customHeight="1" x14ac:dyDescent="0.15">
      <c r="A36" s="2" t="s">
        <v>232</v>
      </c>
      <c r="B36" s="2"/>
      <c r="C36" s="2" t="s">
        <v>233</v>
      </c>
      <c r="D36" s="2" t="s">
        <v>229</v>
      </c>
      <c r="E36" s="2" t="s">
        <v>76</v>
      </c>
      <c r="F36" s="2" t="s">
        <v>2321</v>
      </c>
      <c r="G36" s="2" t="s">
        <v>224</v>
      </c>
    </row>
    <row r="37" spans="1:7" ht="15.75" customHeight="1" x14ac:dyDescent="0.15">
      <c r="A37" s="2" t="s">
        <v>234</v>
      </c>
      <c r="B37" s="2"/>
      <c r="C37" s="2" t="s">
        <v>235</v>
      </c>
      <c r="D37" s="2" t="s">
        <v>229</v>
      </c>
      <c r="E37" s="2" t="s">
        <v>76</v>
      </c>
      <c r="F37" s="2" t="s">
        <v>2321</v>
      </c>
      <c r="G37" s="2" t="s">
        <v>224</v>
      </c>
    </row>
    <row r="38" spans="1:7" ht="15.75" customHeight="1" x14ac:dyDescent="0.15">
      <c r="A38" s="2" t="s">
        <v>236</v>
      </c>
      <c r="B38" s="2"/>
      <c r="C38" s="2" t="s">
        <v>237</v>
      </c>
      <c r="D38" s="2" t="s">
        <v>223</v>
      </c>
      <c r="E38" s="2" t="s">
        <v>76</v>
      </c>
      <c r="F38" s="2" t="s">
        <v>2321</v>
      </c>
      <c r="G38" s="2" t="s">
        <v>224</v>
      </c>
    </row>
    <row r="39" spans="1:7" ht="15.75" customHeight="1" x14ac:dyDescent="0.15">
      <c r="A39" s="2" t="s">
        <v>238</v>
      </c>
      <c r="B39" s="2"/>
      <c r="C39" s="2" t="s">
        <v>239</v>
      </c>
      <c r="D39" s="2" t="s">
        <v>223</v>
      </c>
      <c r="E39" s="2" t="s">
        <v>76</v>
      </c>
      <c r="F39" s="2" t="s">
        <v>2321</v>
      </c>
      <c r="G39" s="2" t="s">
        <v>224</v>
      </c>
    </row>
    <row r="40" spans="1:7" ht="15.75" customHeight="1" x14ac:dyDescent="0.15">
      <c r="A40" s="2" t="s">
        <v>240</v>
      </c>
      <c r="C40" s="2" t="s">
        <v>241</v>
      </c>
      <c r="D40" s="2" t="s">
        <v>229</v>
      </c>
      <c r="E40" s="2" t="s">
        <v>76</v>
      </c>
      <c r="F40" s="2" t="s">
        <v>2321</v>
      </c>
      <c r="G40" s="2" t="s">
        <v>224</v>
      </c>
    </row>
    <row r="41" spans="1:7" ht="15.75" customHeight="1" x14ac:dyDescent="0.15">
      <c r="A41" s="2" t="s">
        <v>242</v>
      </c>
      <c r="C41" s="2" t="s">
        <v>243</v>
      </c>
      <c r="D41" s="2" t="s">
        <v>229</v>
      </c>
      <c r="E41" s="2" t="s">
        <v>76</v>
      </c>
      <c r="F41" s="2" t="s">
        <v>2321</v>
      </c>
      <c r="G41" s="2" t="s">
        <v>224</v>
      </c>
    </row>
    <row r="42" spans="1:7" ht="15.75" customHeight="1" x14ac:dyDescent="0.15">
      <c r="A42" s="2" t="s">
        <v>244</v>
      </c>
      <c r="C42" s="2" t="s">
        <v>245</v>
      </c>
      <c r="D42" s="2" t="s">
        <v>229</v>
      </c>
      <c r="E42" s="2" t="s">
        <v>76</v>
      </c>
      <c r="F42" s="2" t="s">
        <v>2321</v>
      </c>
      <c r="G42" s="2" t="s">
        <v>224</v>
      </c>
    </row>
    <row r="43" spans="1:7" ht="15.75" customHeight="1" x14ac:dyDescent="0.15">
      <c r="A43" s="2" t="s">
        <v>246</v>
      </c>
      <c r="C43" s="2" t="s">
        <v>247</v>
      </c>
      <c r="D43" s="2" t="s">
        <v>223</v>
      </c>
      <c r="E43" s="2" t="s">
        <v>76</v>
      </c>
      <c r="F43" s="2" t="s">
        <v>2321</v>
      </c>
      <c r="G43" s="2" t="s">
        <v>224</v>
      </c>
    </row>
    <row r="44" spans="1:7" ht="15.75" customHeight="1" x14ac:dyDescent="0.15">
      <c r="A44" s="2" t="s">
        <v>248</v>
      </c>
      <c r="C44" s="2" t="s">
        <v>249</v>
      </c>
      <c r="D44" s="2" t="s">
        <v>223</v>
      </c>
      <c r="E44" s="2" t="s">
        <v>76</v>
      </c>
      <c r="F44" s="2" t="s">
        <v>2321</v>
      </c>
      <c r="G44" s="2" t="s">
        <v>224</v>
      </c>
    </row>
    <row r="45" spans="1:7" ht="15.75" customHeight="1" x14ac:dyDescent="0.15">
      <c r="A45" s="2" t="s">
        <v>250</v>
      </c>
      <c r="C45" s="2" t="s">
        <v>251</v>
      </c>
      <c r="D45" s="2" t="s">
        <v>252</v>
      </c>
      <c r="E45" s="2" t="s">
        <v>76</v>
      </c>
      <c r="F45" s="2" t="s">
        <v>2321</v>
      </c>
      <c r="G45" s="2" t="s">
        <v>224</v>
      </c>
    </row>
    <row r="46" spans="1:7" ht="15.75" customHeight="1" x14ac:dyDescent="0.15">
      <c r="A46" s="2" t="s">
        <v>253</v>
      </c>
      <c r="C46" s="2" t="s">
        <v>127</v>
      </c>
      <c r="D46" s="2" t="s">
        <v>252</v>
      </c>
      <c r="E46" s="2" t="s">
        <v>76</v>
      </c>
      <c r="F46" s="2" t="s">
        <v>2321</v>
      </c>
      <c r="G46" s="2" t="s">
        <v>224</v>
      </c>
    </row>
    <row r="47" spans="1:7" ht="15.75" customHeight="1" x14ac:dyDescent="0.15">
      <c r="A47" s="2" t="s">
        <v>254</v>
      </c>
      <c r="C47" s="2" t="s">
        <v>255</v>
      </c>
      <c r="D47" s="2" t="s">
        <v>256</v>
      </c>
      <c r="E47" s="2" t="s">
        <v>76</v>
      </c>
      <c r="F47" s="2" t="s">
        <v>2321</v>
      </c>
      <c r="G47" s="2" t="s">
        <v>224</v>
      </c>
    </row>
    <row r="48" spans="1:7" ht="15.75" customHeight="1" x14ac:dyDescent="0.15">
      <c r="A48" s="2" t="s">
        <v>257</v>
      </c>
      <c r="C48" s="2" t="s">
        <v>258</v>
      </c>
      <c r="D48" s="2" t="s">
        <v>252</v>
      </c>
      <c r="E48" s="2" t="s">
        <v>76</v>
      </c>
      <c r="F48" s="2" t="s">
        <v>2321</v>
      </c>
      <c r="G48" s="2" t="s">
        <v>224</v>
      </c>
    </row>
    <row r="49" spans="1:7" ht="15.75" customHeight="1" x14ac:dyDescent="0.15">
      <c r="A49" s="2" t="s">
        <v>259</v>
      </c>
      <c r="C49" s="2" t="s">
        <v>260</v>
      </c>
      <c r="D49" s="2" t="s">
        <v>256</v>
      </c>
      <c r="E49" s="2" t="s">
        <v>76</v>
      </c>
      <c r="F49" s="2" t="s">
        <v>2321</v>
      </c>
      <c r="G49" s="2" t="s">
        <v>224</v>
      </c>
    </row>
    <row r="50" spans="1:7" ht="15.75" customHeight="1" x14ac:dyDescent="0.15">
      <c r="A50" s="2" t="s">
        <v>261</v>
      </c>
      <c r="C50" s="2" t="s">
        <v>262</v>
      </c>
      <c r="D50" s="2" t="s">
        <v>252</v>
      </c>
      <c r="E50" s="2" t="s">
        <v>76</v>
      </c>
      <c r="F50" s="2" t="s">
        <v>2321</v>
      </c>
      <c r="G50" s="2" t="s">
        <v>224</v>
      </c>
    </row>
    <row r="51" spans="1:7" ht="15.75" customHeight="1" x14ac:dyDescent="0.15">
      <c r="A51" s="2" t="s">
        <v>263</v>
      </c>
      <c r="B51" s="2"/>
      <c r="C51" s="2" t="s">
        <v>219</v>
      </c>
      <c r="D51" s="2" t="s">
        <v>256</v>
      </c>
      <c r="E51" s="2" t="s">
        <v>76</v>
      </c>
      <c r="F51" s="2" t="s">
        <v>2321</v>
      </c>
      <c r="G51" s="2" t="s">
        <v>224</v>
      </c>
    </row>
    <row r="52" spans="1:7" ht="15.75" customHeight="1" x14ac:dyDescent="0.15">
      <c r="A52" s="2" t="s">
        <v>264</v>
      </c>
      <c r="B52" s="2"/>
      <c r="C52" s="2" t="s">
        <v>265</v>
      </c>
      <c r="D52" s="2" t="s">
        <v>223</v>
      </c>
      <c r="E52" s="2" t="s">
        <v>76</v>
      </c>
      <c r="F52" s="2" t="s">
        <v>2321</v>
      </c>
      <c r="G52" s="2" t="s">
        <v>266</v>
      </c>
    </row>
    <row r="53" spans="1:7" ht="15.75" customHeight="1" x14ac:dyDescent="0.15">
      <c r="A53" s="2" t="s">
        <v>267</v>
      </c>
      <c r="B53" s="2" t="s">
        <v>2324</v>
      </c>
      <c r="C53" s="2" t="s">
        <v>137</v>
      </c>
      <c r="D53" s="2" t="s">
        <v>223</v>
      </c>
      <c r="E53" s="2" t="s">
        <v>76</v>
      </c>
      <c r="F53" s="2" t="s">
        <v>2321</v>
      </c>
      <c r="G53" s="2" t="s">
        <v>266</v>
      </c>
    </row>
    <row r="54" spans="1:7" ht="15.75" customHeight="1" x14ac:dyDescent="0.15">
      <c r="A54" s="2" t="s">
        <v>268</v>
      </c>
      <c r="B54" s="2" t="s">
        <v>2325</v>
      </c>
      <c r="C54" s="2" t="s">
        <v>269</v>
      </c>
      <c r="D54" s="2" t="s">
        <v>223</v>
      </c>
      <c r="E54" s="2" t="s">
        <v>76</v>
      </c>
      <c r="F54" s="2" t="s">
        <v>2321</v>
      </c>
      <c r="G54" s="2" t="s">
        <v>266</v>
      </c>
    </row>
    <row r="55" spans="1:7" ht="15.75" customHeight="1" x14ac:dyDescent="0.15">
      <c r="A55" s="2" t="s">
        <v>270</v>
      </c>
      <c r="B55" s="2" t="s">
        <v>2326</v>
      </c>
      <c r="C55" s="2" t="s">
        <v>271</v>
      </c>
      <c r="D55" s="2" t="s">
        <v>229</v>
      </c>
      <c r="E55" s="2" t="s">
        <v>76</v>
      </c>
      <c r="F55" s="2" t="s">
        <v>2321</v>
      </c>
      <c r="G55" s="2" t="s">
        <v>266</v>
      </c>
    </row>
    <row r="56" spans="1:7" ht="15.75" customHeight="1" x14ac:dyDescent="0.15">
      <c r="A56" s="2" t="s">
        <v>272</v>
      </c>
      <c r="B56" s="2" t="s">
        <v>2327</v>
      </c>
      <c r="C56" s="2" t="s">
        <v>273</v>
      </c>
      <c r="D56" s="2" t="s">
        <v>229</v>
      </c>
      <c r="E56" s="2" t="s">
        <v>76</v>
      </c>
      <c r="F56" s="2" t="s">
        <v>2321</v>
      </c>
      <c r="G56" s="2" t="s">
        <v>266</v>
      </c>
    </row>
    <row r="57" spans="1:7" ht="15.75" customHeight="1" x14ac:dyDescent="0.15">
      <c r="A57" s="2" t="s">
        <v>274</v>
      </c>
      <c r="B57" s="2" t="s">
        <v>2328</v>
      </c>
      <c r="C57" s="2" t="s">
        <v>133</v>
      </c>
      <c r="D57" s="2" t="s">
        <v>223</v>
      </c>
      <c r="E57" s="2" t="s">
        <v>76</v>
      </c>
      <c r="F57" s="2" t="s">
        <v>2321</v>
      </c>
      <c r="G57" s="2" t="s">
        <v>266</v>
      </c>
    </row>
    <row r="58" spans="1:7" ht="15.75" customHeight="1" x14ac:dyDescent="0.15">
      <c r="A58" s="2" t="s">
        <v>275</v>
      </c>
      <c r="B58" s="2" t="s">
        <v>2329</v>
      </c>
      <c r="C58" s="2" t="s">
        <v>276</v>
      </c>
      <c r="D58" s="2" t="s">
        <v>229</v>
      </c>
      <c r="E58" s="2" t="s">
        <v>76</v>
      </c>
      <c r="F58" s="2" t="s">
        <v>2321</v>
      </c>
      <c r="G58" s="2" t="s">
        <v>266</v>
      </c>
    </row>
    <row r="59" spans="1:7" ht="15.75" customHeight="1" x14ac:dyDescent="0.15">
      <c r="A59" s="2" t="s">
        <v>277</v>
      </c>
      <c r="B59" s="2" t="s">
        <v>2330</v>
      </c>
      <c r="C59" s="2" t="s">
        <v>207</v>
      </c>
      <c r="D59" s="2" t="s">
        <v>223</v>
      </c>
      <c r="E59" s="2" t="s">
        <v>76</v>
      </c>
      <c r="F59" s="2" t="s">
        <v>2321</v>
      </c>
      <c r="G59" s="2" t="s">
        <v>266</v>
      </c>
    </row>
    <row r="60" spans="1:7" ht="15.75" customHeight="1" x14ac:dyDescent="0.15">
      <c r="A60" s="2" t="s">
        <v>278</v>
      </c>
      <c r="B60" s="2" t="s">
        <v>2331</v>
      </c>
      <c r="C60" s="2" t="s">
        <v>279</v>
      </c>
      <c r="D60" s="2" t="s">
        <v>223</v>
      </c>
      <c r="E60" s="2" t="s">
        <v>76</v>
      </c>
      <c r="F60" s="2" t="s">
        <v>2321</v>
      </c>
      <c r="G60" s="2" t="s">
        <v>266</v>
      </c>
    </row>
    <row r="61" spans="1:7" ht="15.75" customHeight="1" x14ac:dyDescent="0.15">
      <c r="A61" s="2" t="s">
        <v>280</v>
      </c>
      <c r="B61" s="2" t="s">
        <v>2332</v>
      </c>
      <c r="C61" s="2" t="s">
        <v>193</v>
      </c>
      <c r="D61" s="2" t="s">
        <v>252</v>
      </c>
      <c r="E61" s="2" t="s">
        <v>76</v>
      </c>
      <c r="F61" s="2" t="s">
        <v>2321</v>
      </c>
      <c r="G61" s="2" t="s">
        <v>266</v>
      </c>
    </row>
    <row r="62" spans="1:7" ht="15.75" customHeight="1" x14ac:dyDescent="0.15">
      <c r="A62" s="2" t="s">
        <v>320</v>
      </c>
      <c r="C62" s="2" t="s">
        <v>231</v>
      </c>
      <c r="D62" s="2" t="s">
        <v>321</v>
      </c>
      <c r="E62" s="2" t="s">
        <v>71</v>
      </c>
      <c r="F62" s="2" t="s">
        <v>2321</v>
      </c>
      <c r="G62" s="2" t="s">
        <v>322</v>
      </c>
    </row>
    <row r="63" spans="1:7" ht="15.75" customHeight="1" x14ac:dyDescent="0.15">
      <c r="A63" s="2" t="s">
        <v>323</v>
      </c>
      <c r="C63" s="2" t="s">
        <v>324</v>
      </c>
      <c r="D63" s="2" t="s">
        <v>321</v>
      </c>
      <c r="E63" s="2" t="s">
        <v>71</v>
      </c>
      <c r="F63" s="2" t="s">
        <v>2321</v>
      </c>
      <c r="G63" s="2" t="s">
        <v>322</v>
      </c>
    </row>
    <row r="64" spans="1:7" ht="15.75" customHeight="1" x14ac:dyDescent="0.15">
      <c r="A64" s="2" t="s">
        <v>325</v>
      </c>
      <c r="C64" s="2" t="s">
        <v>326</v>
      </c>
      <c r="D64" s="2" t="s">
        <v>321</v>
      </c>
      <c r="E64" s="2" t="s">
        <v>71</v>
      </c>
      <c r="F64" s="2" t="s">
        <v>2321</v>
      </c>
      <c r="G64" s="2" t="s">
        <v>322</v>
      </c>
    </row>
    <row r="65" spans="1:7" ht="15.75" customHeight="1" x14ac:dyDescent="0.15">
      <c r="A65" s="2" t="s">
        <v>327</v>
      </c>
      <c r="C65" s="2" t="s">
        <v>328</v>
      </c>
      <c r="D65" s="2" t="s">
        <v>321</v>
      </c>
      <c r="E65" s="2" t="s">
        <v>71</v>
      </c>
      <c r="F65" s="2" t="s">
        <v>2321</v>
      </c>
      <c r="G65" s="2" t="s">
        <v>322</v>
      </c>
    </row>
    <row r="66" spans="1:7" ht="15.75" customHeight="1" x14ac:dyDescent="0.15">
      <c r="A66" s="2" t="s">
        <v>329</v>
      </c>
      <c r="C66" s="2" t="s">
        <v>330</v>
      </c>
      <c r="D66" s="2" t="s">
        <v>321</v>
      </c>
      <c r="E66" s="2" t="s">
        <v>71</v>
      </c>
      <c r="F66" s="2" t="s">
        <v>2321</v>
      </c>
      <c r="G66" s="2" t="s">
        <v>322</v>
      </c>
    </row>
    <row r="67" spans="1:7" ht="15.75" customHeight="1" x14ac:dyDescent="0.15">
      <c r="A67" s="2" t="s">
        <v>331</v>
      </c>
      <c r="C67" s="2" t="s">
        <v>207</v>
      </c>
      <c r="D67" s="2" t="s">
        <v>321</v>
      </c>
      <c r="E67" s="2" t="s">
        <v>71</v>
      </c>
      <c r="F67" s="2" t="s">
        <v>2321</v>
      </c>
      <c r="G67" s="2" t="s">
        <v>322</v>
      </c>
    </row>
    <row r="68" spans="1:7" ht="13" x14ac:dyDescent="0.15">
      <c r="A68" s="2" t="s">
        <v>332</v>
      </c>
      <c r="C68" s="2" t="s">
        <v>333</v>
      </c>
      <c r="D68" s="2" t="s">
        <v>321</v>
      </c>
      <c r="E68" s="2" t="s">
        <v>71</v>
      </c>
      <c r="F68" s="2" t="s">
        <v>2321</v>
      </c>
      <c r="G68" s="2" t="s">
        <v>322</v>
      </c>
    </row>
    <row r="69" spans="1:7" ht="13" x14ac:dyDescent="0.15">
      <c r="A69" s="2" t="s">
        <v>334</v>
      </c>
      <c r="C69" s="2" t="s">
        <v>335</v>
      </c>
      <c r="D69" s="2" t="s">
        <v>321</v>
      </c>
      <c r="E69" s="2" t="s">
        <v>71</v>
      </c>
      <c r="F69" s="2" t="s">
        <v>2321</v>
      </c>
      <c r="G69" s="2" t="s">
        <v>322</v>
      </c>
    </row>
    <row r="70" spans="1:7" ht="13" x14ac:dyDescent="0.15">
      <c r="A70" s="2" t="s">
        <v>336</v>
      </c>
      <c r="C70" s="2" t="s">
        <v>337</v>
      </c>
      <c r="D70" s="2" t="s">
        <v>321</v>
      </c>
      <c r="E70" s="2" t="s">
        <v>71</v>
      </c>
      <c r="F70" s="2" t="s">
        <v>2321</v>
      </c>
      <c r="G70" s="2" t="s">
        <v>322</v>
      </c>
    </row>
    <row r="71" spans="1:7" ht="13" x14ac:dyDescent="0.15">
      <c r="A71" s="2" t="s">
        <v>338</v>
      </c>
      <c r="C71" s="2" t="s">
        <v>339</v>
      </c>
      <c r="D71" s="2" t="s">
        <v>321</v>
      </c>
      <c r="E71" s="2" t="s">
        <v>71</v>
      </c>
      <c r="F71" s="2" t="s">
        <v>2321</v>
      </c>
      <c r="G71" s="2" t="s">
        <v>322</v>
      </c>
    </row>
    <row r="72" spans="1:7" ht="13" x14ac:dyDescent="0.15">
      <c r="A72" s="2" t="s">
        <v>340</v>
      </c>
      <c r="C72" s="2" t="s">
        <v>341</v>
      </c>
      <c r="D72" s="2" t="s">
        <v>321</v>
      </c>
      <c r="E72" s="2" t="s">
        <v>71</v>
      </c>
      <c r="F72" s="2" t="s">
        <v>2321</v>
      </c>
      <c r="G72" s="2" t="s">
        <v>322</v>
      </c>
    </row>
    <row r="73" spans="1:7" ht="13" x14ac:dyDescent="0.15">
      <c r="A73" s="2" t="s">
        <v>342</v>
      </c>
      <c r="C73" s="2" t="s">
        <v>105</v>
      </c>
      <c r="D73" s="2" t="s">
        <v>321</v>
      </c>
      <c r="E73" s="2" t="s">
        <v>71</v>
      </c>
      <c r="F73" s="2" t="s">
        <v>2321</v>
      </c>
      <c r="G73" s="2" t="s">
        <v>322</v>
      </c>
    </row>
    <row r="74" spans="1:7" ht="13" x14ac:dyDescent="0.15">
      <c r="A74" s="2" t="s">
        <v>343</v>
      </c>
      <c r="C74" s="2" t="s">
        <v>344</v>
      </c>
      <c r="D74" s="2" t="s">
        <v>321</v>
      </c>
      <c r="E74" s="2" t="s">
        <v>71</v>
      </c>
      <c r="F74" s="2" t="s">
        <v>2321</v>
      </c>
      <c r="G74" s="2" t="s">
        <v>322</v>
      </c>
    </row>
    <row r="75" spans="1:7" ht="13" x14ac:dyDescent="0.15">
      <c r="A75" s="2" t="s">
        <v>345</v>
      </c>
      <c r="C75" s="2" t="s">
        <v>346</v>
      </c>
      <c r="D75" s="2" t="s">
        <v>321</v>
      </c>
      <c r="E75" s="2" t="s">
        <v>71</v>
      </c>
      <c r="F75" s="2" t="s">
        <v>2321</v>
      </c>
      <c r="G75" s="2" t="s">
        <v>322</v>
      </c>
    </row>
    <row r="76" spans="1:7" ht="13" x14ac:dyDescent="0.15">
      <c r="A76" s="2" t="s">
        <v>347</v>
      </c>
      <c r="C76" s="2" t="s">
        <v>348</v>
      </c>
      <c r="D76" s="2" t="s">
        <v>321</v>
      </c>
      <c r="E76" s="2" t="s">
        <v>71</v>
      </c>
      <c r="F76" s="2" t="s">
        <v>2321</v>
      </c>
      <c r="G76" s="2" t="s">
        <v>322</v>
      </c>
    </row>
    <row r="77" spans="1:7" ht="13" x14ac:dyDescent="0.15">
      <c r="A77" s="2" t="s">
        <v>349</v>
      </c>
      <c r="C77" s="2" t="s">
        <v>350</v>
      </c>
      <c r="D77" s="2" t="s">
        <v>321</v>
      </c>
      <c r="E77" s="2" t="s">
        <v>71</v>
      </c>
      <c r="F77" s="2" t="s">
        <v>2321</v>
      </c>
      <c r="G77" s="2" t="s">
        <v>322</v>
      </c>
    </row>
    <row r="78" spans="1:7" ht="13" x14ac:dyDescent="0.15">
      <c r="A78" s="2" t="s">
        <v>351</v>
      </c>
      <c r="C78" s="2" t="s">
        <v>198</v>
      </c>
      <c r="D78" s="2" t="s">
        <v>321</v>
      </c>
      <c r="E78" s="2" t="s">
        <v>71</v>
      </c>
      <c r="F78" s="2" t="s">
        <v>2321</v>
      </c>
      <c r="G78" s="2" t="s">
        <v>322</v>
      </c>
    </row>
    <row r="79" spans="1:7" ht="13" x14ac:dyDescent="0.15">
      <c r="A79" s="2" t="s">
        <v>352</v>
      </c>
      <c r="C79" s="2" t="s">
        <v>353</v>
      </c>
      <c r="D79" s="2" t="s">
        <v>321</v>
      </c>
      <c r="E79" s="2" t="s">
        <v>71</v>
      </c>
      <c r="F79" s="2" t="s">
        <v>2321</v>
      </c>
      <c r="G79" s="2" t="s">
        <v>322</v>
      </c>
    </row>
    <row r="80" spans="1:7" ht="13" x14ac:dyDescent="0.15">
      <c r="A80" s="2" t="s">
        <v>354</v>
      </c>
      <c r="C80" s="2" t="s">
        <v>355</v>
      </c>
      <c r="D80" s="2" t="s">
        <v>321</v>
      </c>
      <c r="E80" s="2" t="s">
        <v>71</v>
      </c>
      <c r="F80" s="2" t="s">
        <v>2321</v>
      </c>
      <c r="G80" s="2" t="s">
        <v>322</v>
      </c>
    </row>
    <row r="81" spans="1:7" ht="13" x14ac:dyDescent="0.15">
      <c r="A81" s="2" t="s">
        <v>356</v>
      </c>
      <c r="C81" s="2" t="s">
        <v>357</v>
      </c>
      <c r="D81" s="2" t="s">
        <v>321</v>
      </c>
      <c r="E81" s="2" t="s">
        <v>71</v>
      </c>
      <c r="F81" s="2" t="s">
        <v>2321</v>
      </c>
      <c r="G81" s="2" t="s">
        <v>322</v>
      </c>
    </row>
    <row r="82" spans="1:7" ht="13" x14ac:dyDescent="0.15">
      <c r="A82" s="2" t="s">
        <v>358</v>
      </c>
      <c r="C82" s="2" t="s">
        <v>359</v>
      </c>
      <c r="D82" s="2" t="s">
        <v>321</v>
      </c>
      <c r="E82" s="2" t="s">
        <v>71</v>
      </c>
      <c r="F82" s="2" t="s">
        <v>2321</v>
      </c>
      <c r="G82" s="2" t="s">
        <v>322</v>
      </c>
    </row>
    <row r="83" spans="1:7" ht="13" x14ac:dyDescent="0.15">
      <c r="A83" s="2" t="s">
        <v>360</v>
      </c>
      <c r="C83" s="2" t="s">
        <v>361</v>
      </c>
      <c r="D83" s="2" t="s">
        <v>321</v>
      </c>
      <c r="E83" s="2" t="s">
        <v>71</v>
      </c>
      <c r="F83" s="2" t="s">
        <v>2321</v>
      </c>
      <c r="G83" s="2" t="s">
        <v>322</v>
      </c>
    </row>
    <row r="84" spans="1:7" ht="13" x14ac:dyDescent="0.15">
      <c r="A84" s="2" t="s">
        <v>362</v>
      </c>
      <c r="C84" s="2" t="s">
        <v>363</v>
      </c>
      <c r="D84" s="2" t="s">
        <v>321</v>
      </c>
      <c r="E84" s="2" t="s">
        <v>71</v>
      </c>
      <c r="F84" s="2" t="s">
        <v>2321</v>
      </c>
      <c r="G84" s="2" t="s">
        <v>322</v>
      </c>
    </row>
    <row r="85" spans="1:7" ht="13" x14ac:dyDescent="0.15">
      <c r="A85" s="2" t="s">
        <v>364</v>
      </c>
      <c r="C85" s="2" t="s">
        <v>365</v>
      </c>
      <c r="D85" s="2" t="s">
        <v>321</v>
      </c>
      <c r="E85" s="2" t="s">
        <v>71</v>
      </c>
      <c r="F85" s="2" t="s">
        <v>2321</v>
      </c>
      <c r="G85" s="2" t="s">
        <v>322</v>
      </c>
    </row>
    <row r="86" spans="1:7" ht="13" x14ac:dyDescent="0.15">
      <c r="A86" s="2" t="s">
        <v>366</v>
      </c>
      <c r="C86" s="2" t="s">
        <v>367</v>
      </c>
      <c r="D86" s="2" t="s">
        <v>321</v>
      </c>
      <c r="E86" s="2" t="s">
        <v>71</v>
      </c>
      <c r="F86" s="2" t="s">
        <v>2321</v>
      </c>
      <c r="G86" s="2" t="s">
        <v>322</v>
      </c>
    </row>
    <row r="87" spans="1:7" ht="13" x14ac:dyDescent="0.15">
      <c r="A87" s="2" t="s">
        <v>368</v>
      </c>
      <c r="C87" s="2" t="s">
        <v>369</v>
      </c>
      <c r="D87" s="2" t="s">
        <v>321</v>
      </c>
      <c r="E87" s="2" t="s">
        <v>71</v>
      </c>
      <c r="F87" s="2" t="s">
        <v>2321</v>
      </c>
      <c r="G87" s="2" t="s">
        <v>322</v>
      </c>
    </row>
    <row r="88" spans="1:7" ht="13" x14ac:dyDescent="0.15">
      <c r="A88" s="2" t="s">
        <v>370</v>
      </c>
      <c r="C88" s="2" t="s">
        <v>371</v>
      </c>
      <c r="D88" s="2" t="s">
        <v>321</v>
      </c>
      <c r="E88" s="2" t="s">
        <v>71</v>
      </c>
      <c r="F88" s="2" t="s">
        <v>2321</v>
      </c>
      <c r="G88" s="2" t="s">
        <v>322</v>
      </c>
    </row>
    <row r="89" spans="1:7" ht="13" x14ac:dyDescent="0.15">
      <c r="A89" s="2" t="s">
        <v>372</v>
      </c>
      <c r="C89" s="2" t="s">
        <v>373</v>
      </c>
      <c r="D89" s="2" t="s">
        <v>321</v>
      </c>
      <c r="E89" s="2" t="s">
        <v>71</v>
      </c>
      <c r="F89" s="2" t="s">
        <v>2321</v>
      </c>
      <c r="G89" s="2" t="s">
        <v>322</v>
      </c>
    </row>
    <row r="90" spans="1:7" ht="13" x14ac:dyDescent="0.15">
      <c r="A90" s="2" t="s">
        <v>374</v>
      </c>
      <c r="C90" s="2" t="s">
        <v>375</v>
      </c>
      <c r="D90" s="2" t="s">
        <v>321</v>
      </c>
      <c r="E90" s="2" t="s">
        <v>71</v>
      </c>
      <c r="F90" s="2" t="s">
        <v>2321</v>
      </c>
      <c r="G90" s="2" t="s">
        <v>322</v>
      </c>
    </row>
    <row r="91" spans="1:7" ht="13" x14ac:dyDescent="0.15">
      <c r="A91" s="2" t="s">
        <v>376</v>
      </c>
      <c r="C91" s="2" t="s">
        <v>377</v>
      </c>
      <c r="D91" s="2" t="s">
        <v>321</v>
      </c>
      <c r="E91" s="2" t="s">
        <v>71</v>
      </c>
      <c r="F91" s="2" t="s">
        <v>2321</v>
      </c>
      <c r="G91" s="2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TASKS &amp; INFO</vt:lpstr>
      <vt:lpstr>morphological_extraction</vt:lpstr>
      <vt:lpstr>diacritics</vt:lpstr>
      <vt:lpstr>uppercasing</vt:lpstr>
      <vt:lpstr>character_counting</vt:lpstr>
      <vt:lpstr>character_recognition</vt:lpstr>
      <vt:lpstr>inflected_affix_extraction</vt:lpstr>
      <vt:lpstr>inflected_root_extraction</vt:lpstr>
      <vt:lpstr>reduplicated_root_extraction</vt:lpstr>
      <vt:lpstr>reduplicant_extration</vt:lpstr>
      <vt:lpstr>morphological extraction_inflic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Montalan Jann Railey Estrada</cp:lastModifiedBy>
  <dcterms:modified xsi:type="dcterms:W3CDTF">2026-05-19T09:22:17Z</dcterms:modified>
</cp:coreProperties>
</file>